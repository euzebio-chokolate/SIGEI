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o_2025" sheetId="1" r:id="rId4"/>
    <sheet state="visible" name="Planilha2" sheetId="2" r:id="rId5"/>
  </sheets>
  <definedNames>
    <definedName hidden="1" localSheetId="0" name="_xlnm._FilterDatabase">Censo_2025!$A$2:$AB$179</definedName>
  </definedNames>
  <calcPr/>
  <extLst>
    <ext uri="GoogleSheetsCustomDataVersion2">
      <go:sheetsCustomData xmlns:go="http://customooxmlschemas.google.com/" r:id="rId6" roundtripDataChecksum="liWgyfa5rrHLlE2P6rCfuHe8jfaATGNZz+8evHbi+Js="/>
    </ext>
  </extLst>
</workbook>
</file>

<file path=xl/sharedStrings.xml><?xml version="1.0" encoding="utf-8"?>
<sst xmlns="http://schemas.openxmlformats.org/spreadsheetml/2006/main" count="988" uniqueCount="434">
  <si>
    <t>Ord.</t>
  </si>
  <si>
    <t>Municipio</t>
  </si>
  <si>
    <t>Código</t>
  </si>
  <si>
    <t>Nome da Escola</t>
  </si>
  <si>
    <t>Povos</t>
  </si>
  <si>
    <t>Terra Indígena</t>
  </si>
  <si>
    <t>Aldeia</t>
  </si>
  <si>
    <t>M</t>
  </si>
  <si>
    <t>REGIONAL</t>
  </si>
  <si>
    <t>F</t>
  </si>
  <si>
    <t>Matrículas</t>
  </si>
  <si>
    <t>MUNICÍPIOS</t>
  </si>
  <si>
    <t>POVOS</t>
  </si>
  <si>
    <t>NÚMERO DE ESCOLAS</t>
  </si>
  <si>
    <t>NÚMERO DE PROFESSORES</t>
  </si>
  <si>
    <t>Ensino Infantil</t>
  </si>
  <si>
    <t>1º Ano</t>
  </si>
  <si>
    <t>2º Ano</t>
  </si>
  <si>
    <t>MATRÍCULAS</t>
  </si>
  <si>
    <t>3º Ano</t>
  </si>
  <si>
    <t>4º Ano</t>
  </si>
  <si>
    <t>5º Ano</t>
  </si>
  <si>
    <t>Subtotal</t>
  </si>
  <si>
    <t>6º Ano</t>
  </si>
  <si>
    <t>7º Ano</t>
  </si>
  <si>
    <t>8º Ano</t>
  </si>
  <si>
    <t>9º Ano</t>
  </si>
  <si>
    <t>1ª Série</t>
  </si>
  <si>
    <t>2ª Série</t>
  </si>
  <si>
    <t>3ª Série</t>
  </si>
  <si>
    <t>Total Ensino Médio</t>
  </si>
  <si>
    <t>EJA</t>
  </si>
  <si>
    <t>AEE</t>
  </si>
  <si>
    <t>Total</t>
  </si>
  <si>
    <t>ESCOLAS</t>
  </si>
  <si>
    <t>MÂNCIO LIMA</t>
  </si>
  <si>
    <t>ANEXO</t>
  </si>
  <si>
    <t>TOTAL</t>
  </si>
  <si>
    <t>ESC INDIGENA ADELIA COSTA DE OLIVEIRA</t>
  </si>
  <si>
    <t>NAWA</t>
  </si>
  <si>
    <t>NAWA DO NOVO RECREIO</t>
  </si>
  <si>
    <t>ENSINO INFANTIL</t>
  </si>
  <si>
    <t>NOVO RECREIO</t>
  </si>
  <si>
    <t>1º AO 5º ANO</t>
  </si>
  <si>
    <t>6º AO 9º ANO</t>
  </si>
  <si>
    <t>ENSINO MÉDIO</t>
  </si>
  <si>
    <t>ALTO ACRE</t>
  </si>
  <si>
    <t>ASSIS BRASIL</t>
  </si>
  <si>
    <t>JAMINAWA E MANCHINERI</t>
  </si>
  <si>
    <t>FEIJO</t>
  </si>
  <si>
    <t>ESC INDIGENA ALTO BONITO I</t>
  </si>
  <si>
    <t>MADIJA</t>
  </si>
  <si>
    <t>IGARAPÉ DO PAU</t>
  </si>
  <si>
    <t>CALIFÓRNIA</t>
  </si>
  <si>
    <t>ESC INDIGENA ALTO BONITO I - COQUEIRO</t>
  </si>
  <si>
    <t>COQUEIRO</t>
  </si>
  <si>
    <t>PURUS</t>
  </si>
  <si>
    <t>ESC INDIGENA ALTO BONITO I - LIMOEIRO</t>
  </si>
  <si>
    <t>LIMOEIRO</t>
  </si>
  <si>
    <t>SENA MADUREIRA</t>
  </si>
  <si>
    <t>JAMINAWA</t>
  </si>
  <si>
    <t>ESC INDIGENA ALTO BONITO II ASHANINKA</t>
  </si>
  <si>
    <t>ASHANINKA</t>
  </si>
  <si>
    <t>JAMINAWA DO ALTO RIO ENVIRA</t>
  </si>
  <si>
    <t>MANOEL URBANO</t>
  </si>
  <si>
    <t>ALTO BONITO</t>
  </si>
  <si>
    <t>SANTA ROSA DO PURUS</t>
  </si>
  <si>
    <t>HUNI KUI E MADIJA</t>
  </si>
  <si>
    <t>ESC INDIGENA ALTO BONITO II ASHANINKA - FORMIGUINHA</t>
  </si>
  <si>
    <t>FORMIGUINHA</t>
  </si>
  <si>
    <t>ENVIRA/ TARAUACÁ</t>
  </si>
  <si>
    <t>FEIJÓ</t>
  </si>
  <si>
    <t>ASHANINKA, HUNI KUI, MADIJA E SHANENAWA</t>
  </si>
  <si>
    <t>ESC INDIGENA ALTO BONITO II ASHANINKA - RURNAI</t>
  </si>
  <si>
    <t>RURNAI</t>
  </si>
  <si>
    <t>TARAUACÁ</t>
  </si>
  <si>
    <t>ASHANINKA, HUNI KUI, NOKE KOI E YAWANAWA</t>
  </si>
  <si>
    <t>JORDAO</t>
  </si>
  <si>
    <t>ESC INDIGENA ALTO DO BODE</t>
  </si>
  <si>
    <t>HUNI KUI</t>
  </si>
  <si>
    <t>ALTO RIO JORDÃO</t>
  </si>
  <si>
    <t>CHICO CURUMIM</t>
  </si>
  <si>
    <t>JORDÃO</t>
  </si>
  <si>
    <t>JURUÁ</t>
  </si>
  <si>
    <t>RODRIGUES ALVES</t>
  </si>
  <si>
    <t>JAMINAWA E JAMINAWA ARARA</t>
  </si>
  <si>
    <t>ESC INDIGENA ANTONIO CARIOCA WIXI TAPIMATI</t>
  </si>
  <si>
    <t>SHANENAWA</t>
  </si>
  <si>
    <t>KATUKINA/KAXINAWA</t>
  </si>
  <si>
    <t>SHANEYHU</t>
  </si>
  <si>
    <t>CRUZEIRO DO SUL</t>
  </si>
  <si>
    <t>NOKE KOI</t>
  </si>
  <si>
    <t>ESC INDIGENA APUI</t>
  </si>
  <si>
    <t>ALTO RIO PURUS</t>
  </si>
  <si>
    <t>NAWA, NUKINI E PUYANAWA</t>
  </si>
  <si>
    <t>PORTO WALTER</t>
  </si>
  <si>
    <t>ESC INDIGENA ARARA INDIGENA</t>
  </si>
  <si>
    <t>SHAWADAWA</t>
  </si>
  <si>
    <t>ARARA DO IGARAPÉ HUMAITA</t>
  </si>
  <si>
    <t>FOZ DO NILO</t>
  </si>
  <si>
    <t>ESC INDIGENA ARARA INDIGENA - ANEXO</t>
  </si>
  <si>
    <t>SÃO JOSÉ</t>
  </si>
  <si>
    <t>SHAWÃDAWA</t>
  </si>
  <si>
    <t>ESC INDIGENA AUGUSTINHO VARELLA</t>
  </si>
  <si>
    <t>NOVO ACORDO</t>
  </si>
  <si>
    <t>ESC INDIGENA BEJAMIM KAMPA</t>
  </si>
  <si>
    <t>KAMPA E ISOLADOS</t>
  </si>
  <si>
    <t>BOCA DO RIOZINHO</t>
  </si>
  <si>
    <t>MARECHAL THAUMATURGO</t>
  </si>
  <si>
    <t>JAMINAWA ARARA E HUNI KUI</t>
  </si>
  <si>
    <t>ESC INDIGENA BELO HORIZONTE</t>
  </si>
  <si>
    <t>MANCHINERI</t>
  </si>
  <si>
    <t>MAMOADATE</t>
  </si>
  <si>
    <t>LARANJEIRA</t>
  </si>
  <si>
    <t>ESC INDIGENA BELO MONTE</t>
  </si>
  <si>
    <t>BELO MONTE</t>
  </si>
  <si>
    <t>ESC INDIGENA BETEL</t>
  </si>
  <si>
    <t>BETEL</t>
  </si>
  <si>
    <t>TARAUACA</t>
  </si>
  <si>
    <t>ESC INDIGENA BIMI KAXINAWA</t>
  </si>
  <si>
    <t>PRAIA DO CARAPANÃ</t>
  </si>
  <si>
    <t>COCAMEIRA</t>
  </si>
  <si>
    <t>ESC INDIGENA BOA ESPERANCA</t>
  </si>
  <si>
    <t>ALTO RIO TARAUACA</t>
  </si>
  <si>
    <t>MAE BENAR</t>
  </si>
  <si>
    <t>ESC INDIGENA BOA ESPERANCA - ANEXO I</t>
  </si>
  <si>
    <t>-</t>
  </si>
  <si>
    <t>ESC INDIGENA BOACU</t>
  </si>
  <si>
    <t>SANTA FERINA</t>
  </si>
  <si>
    <t>S. ROSA DO PURUS</t>
  </si>
  <si>
    <t>ESC INDIGENA BOCA DO NAZARE</t>
  </si>
  <si>
    <t>BOCA DO NAZARÉ</t>
  </si>
  <si>
    <t>ESC INDIGENA BOM FUTURO</t>
  </si>
  <si>
    <t>VINTE E UM</t>
  </si>
  <si>
    <t>ESC INDIGENA BOM FUTURO DE TECNICA</t>
  </si>
  <si>
    <t>PÃO SAGRADO</t>
  </si>
  <si>
    <t>ESC INDIGENA BOM JESUS</t>
  </si>
  <si>
    <t>COCO AÇU</t>
  </si>
  <si>
    <t>ESC INDIGENA CANAAN</t>
  </si>
  <si>
    <t>CAYAPUCA</t>
  </si>
  <si>
    <t>CANAÃ</t>
  </si>
  <si>
    <t>ESC INDIGENA CORACAO DA FLORESTA</t>
  </si>
  <si>
    <t>CORAÇÃO DA FLORESTA</t>
  </si>
  <si>
    <t>MUNU VENA</t>
  </si>
  <si>
    <t>ESC INDIGENA CORONEL KAMADSU KULINA</t>
  </si>
  <si>
    <t>KULINA DO RIO ENVIRA</t>
  </si>
  <si>
    <t>TIGELA</t>
  </si>
  <si>
    <t>ESC INDIGENA DANIEL ASHANINKA</t>
  </si>
  <si>
    <t>REMANSO DO LIMÃO</t>
  </si>
  <si>
    <t>ESC INDIGENA DE ENSINO MEDIO HUNI KUI NIA IBU ISAKA</t>
  </si>
  <si>
    <t>ESC INDIGENA DOUTOR KULINA</t>
  </si>
  <si>
    <t>MARONAWA</t>
  </si>
  <si>
    <t>ESC INDIGENA DUAS NACOES DOS ASHANINKA</t>
  </si>
  <si>
    <t>KAMPA DO IGARAPE PRIMAVERA</t>
  </si>
  <si>
    <t>PRIMAVERA</t>
  </si>
  <si>
    <t>ESC INDIGENA ESTIRAO DO CAUCHO I</t>
  </si>
  <si>
    <t>ESTIRÃO DO CAUCHO</t>
  </si>
  <si>
    <t>CAUCHO</t>
  </si>
  <si>
    <t>ESC INDIGENA EXTREMA JAMINAWA</t>
  </si>
  <si>
    <t>JAMINAWA DO IGARAPÉ PRETO</t>
  </si>
  <si>
    <t>EXTREMA JAMINAWA</t>
  </si>
  <si>
    <t>ESC INDIGENA EXTREMA JAMINAWA - ANEXO</t>
  </si>
  <si>
    <t>SÃO JOÃO</t>
  </si>
  <si>
    <t>ESC INDIGENA FLORESTA</t>
  </si>
  <si>
    <t>CAYAPUCÁ</t>
  </si>
  <si>
    <t>ESC INDIGENA FRANCISCO BARBOSA HUNI KUI</t>
  </si>
  <si>
    <t>SÃO FRANCISCO</t>
  </si>
  <si>
    <t>ESC INDIGENA FRANCISCO DE ASSIS SATANAWA</t>
  </si>
  <si>
    <t>CAMPINAS/KATUKINA</t>
  </si>
  <si>
    <t>SAMAUMA</t>
  </si>
  <si>
    <t>ESC INDIGENA FRANCISCO LESSA</t>
  </si>
  <si>
    <t>YAWANAWA</t>
  </si>
  <si>
    <t>RIO GREGÓRIO</t>
  </si>
  <si>
    <t>ESCONDIDO</t>
  </si>
  <si>
    <t>ESC INDIGENA HERMILIO GENEROSO DE OLIVEIRA</t>
  </si>
  <si>
    <t>NUKINI</t>
  </si>
  <si>
    <t>MEIA DUZIA</t>
  </si>
  <si>
    <t>ESC INDIGENA HERMILIO GENEROSO DE OLIVEIRA - ANEXO</t>
  </si>
  <si>
    <t>TIMBAUBA</t>
  </si>
  <si>
    <t>ESC INDIGENA HIMATKALTSHI</t>
  </si>
  <si>
    <t>CABECEIRA DO RIO ACRE</t>
  </si>
  <si>
    <t>NOVA UNIÃO</t>
  </si>
  <si>
    <t>ESC INDIGENA HOMHA</t>
  </si>
  <si>
    <t>SENEGAL</t>
  </si>
  <si>
    <t>ESC INDIGENA HOSHA</t>
  </si>
  <si>
    <t>NOVA ESPERANÇA</t>
  </si>
  <si>
    <t>ESC INDIGENA HOTAWAKALU</t>
  </si>
  <si>
    <t>ÁGUA PRETA</t>
  </si>
  <si>
    <t>ESC INDIGENA HUNI KUI BUSE</t>
  </si>
  <si>
    <t>KAXINAWA DO CURRALINHO</t>
  </si>
  <si>
    <t>ESC INDIGENA HUNI KUI SIÃ</t>
  </si>
  <si>
    <t>PAROÁ</t>
  </si>
  <si>
    <t>ESC INDIGENA HUNI KUI SIÃ - ANEXO I</t>
  </si>
  <si>
    <t>NOVA ALIANÇA</t>
  </si>
  <si>
    <t>ESC INDIGENA HUNI KUI SIÃ - ANEXO II</t>
  </si>
  <si>
    <t>NOVO LUGAR</t>
  </si>
  <si>
    <t>ESC INDIGENA HUNI KUI TUWE</t>
  </si>
  <si>
    <t>KAXINAWA DO NOVA OLINDA</t>
  </si>
  <si>
    <t>NOVA OLINDA</t>
  </si>
  <si>
    <t>ESC INDIGENA HUNI KUI YUBE</t>
  </si>
  <si>
    <t>BOA VISTA</t>
  </si>
  <si>
    <t>ESC INDIGENA HWATACHA</t>
  </si>
  <si>
    <t>SÃO SEBASTIÃO</t>
  </si>
  <si>
    <t>ESC INDIGENA IBA KAXINAWA</t>
  </si>
  <si>
    <t>RIO HUMAITA</t>
  </si>
  <si>
    <t>PORTO BRASIL</t>
  </si>
  <si>
    <t>ESC INDIGENA IGARAPE DO ANJO</t>
  </si>
  <si>
    <t>IGARAPÉ DO ANJO</t>
  </si>
  <si>
    <t>ESC INDIGENA IKA MURU HUNI KUI</t>
  </si>
  <si>
    <t>NOVO REPOUSO</t>
  </si>
  <si>
    <t>ESC INDIGENA IVA STTIHO</t>
  </si>
  <si>
    <t>ESC INDIGENA IVA STTIHO  - ANEXO ALDEIA SAGRADO</t>
  </si>
  <si>
    <t>SAGRADO</t>
  </si>
  <si>
    <t>ESC INDIGENA IVAN TUI HUNIKUI</t>
  </si>
  <si>
    <t>NOVA FLORESTA</t>
  </si>
  <si>
    <t>ESC INDIGENA IXUBAY RABUI PUYANAWA</t>
  </si>
  <si>
    <t>PUYANAWA</t>
  </si>
  <si>
    <t>BARÃO</t>
  </si>
  <si>
    <t>ESC INDIGENA JACOBINA</t>
  </si>
  <si>
    <t>KAXINAWA/ASHANINKA DO RIO BREU</t>
  </si>
  <si>
    <t>JACOBINA</t>
  </si>
  <si>
    <t>ESC INDIGENA JACOBINA - PENSAMENTO</t>
  </si>
  <si>
    <t>PENSAMENTO</t>
  </si>
  <si>
    <t>ESC INDIGENA JAMINAUAS</t>
  </si>
  <si>
    <t>MORADA NOVA</t>
  </si>
  <si>
    <t>ESC INDIGENA JAMINAWA</t>
  </si>
  <si>
    <t>ESC INDIGENA JAMINAWA - SONDA</t>
  </si>
  <si>
    <t>SONDA</t>
  </si>
  <si>
    <t>ESC INDIGENA JAMINAWA ARARA</t>
  </si>
  <si>
    <t>JAMINAWA ARARA</t>
  </si>
  <si>
    <t>NOVA VIDA II</t>
  </si>
  <si>
    <t>JAMINAWA ARARA DO RIO BAGE</t>
  </si>
  <si>
    <t>ESC INDIGENA JOANA SIQUEIRA LIMA</t>
  </si>
  <si>
    <t>MATRINXÃ</t>
  </si>
  <si>
    <t>ESC INDIGENA JOAO BERNARDO RODRIGUES</t>
  </si>
  <si>
    <t>BOCA DO TAPADA</t>
  </si>
  <si>
    <t>ESC INDIGENA JOAO CARNEIRO</t>
  </si>
  <si>
    <t>TIBUÇO</t>
  </si>
  <si>
    <t>ESC INDIGENA JOAO DAMIAO</t>
  </si>
  <si>
    <t>BANANEIRA</t>
  </si>
  <si>
    <t>ESC INDIGENA JOSE BATISTA DINIZ</t>
  </si>
  <si>
    <t>PARANA DOS BATISTAS</t>
  </si>
  <si>
    <t>ESC INDIGENA KAJPAHA</t>
  </si>
  <si>
    <t>JATOBÁ</t>
  </si>
  <si>
    <t>ESC INDIGENA KAMANAWA DO SETE ESTRELA</t>
  </si>
  <si>
    <t>ESC INDIGENA KAMANAWA DO SETE ESTRELA - ANEXO I</t>
  </si>
  <si>
    <t>TONYA</t>
  </si>
  <si>
    <t>ESC INDIGENA KAMANAWA DO SETE ESTRELA - ANEXO II</t>
  </si>
  <si>
    <t>PANAYA</t>
  </si>
  <si>
    <t>ESC INDIGENA KAMANAWA DO SETE ESTRELA - ANEXO III</t>
  </si>
  <si>
    <t>MEKE WANINAWA</t>
  </si>
  <si>
    <t>ESC INDIGENA KAPA YUCHIBU</t>
  </si>
  <si>
    <t>SEGREDO DO ARTESÃO</t>
  </si>
  <si>
    <t>ESC INDIGENA KATAHIRI</t>
  </si>
  <si>
    <t>CACHOEIRA</t>
  </si>
  <si>
    <t>ESC INDIGENA KATE YUVE</t>
  </si>
  <si>
    <t>YAWARANY</t>
  </si>
  <si>
    <t>ESC INDIGENA KATUKINA I</t>
  </si>
  <si>
    <t>VARINAWA</t>
  </si>
  <si>
    <t>ESC INDIGENA KATUKINA II</t>
  </si>
  <si>
    <t>CAMPINAS</t>
  </si>
  <si>
    <t>ESC INDIGENA KEA HUNI KAXINAWA</t>
  </si>
  <si>
    <t>AGUA VIVA</t>
  </si>
  <si>
    <t>ESC INDIGENA KEA HUNI KAXINAWA - ANEXO</t>
  </si>
  <si>
    <t>ESC INDIGENA KESHUANI SHANENAWA</t>
  </si>
  <si>
    <t>SHANEKAYA</t>
  </si>
  <si>
    <t>ESC INDIGENA KESHUANI SHANENAWA - AYANI</t>
  </si>
  <si>
    <t>AYANI</t>
  </si>
  <si>
    <t>ESC INDIGENA KESHUANI SHANENAWA - TATXA KAYA</t>
  </si>
  <si>
    <t>TATXA KAYA</t>
  </si>
  <si>
    <t>ESC INDIGENA KUPY KAXINAWA</t>
  </si>
  <si>
    <t>VINTE E SETE</t>
  </si>
  <si>
    <t>ESC INDIGENA KUSHU</t>
  </si>
  <si>
    <t>CUJUBIM</t>
  </si>
  <si>
    <t>ESC INDIGENA LIMA DO VALE</t>
  </si>
  <si>
    <t>RAIMUNDO DO VALE</t>
  </si>
  <si>
    <t>ESC INDIGENA LIMA JAMINAWA</t>
  </si>
  <si>
    <t>NOVA VIDA I</t>
  </si>
  <si>
    <t xml:space="preserve"> </t>
  </si>
  <si>
    <t>ESC INDIGENA MANOEL RUFINO</t>
  </si>
  <si>
    <t>RIOZINHO DO IACO</t>
  </si>
  <si>
    <t>MULATEIRO</t>
  </si>
  <si>
    <t>ESC INDIGENA MARIA LUCIA DA COSTA MOREIRA</t>
  </si>
  <si>
    <t>ESC INDIGENA MARONAWA</t>
  </si>
  <si>
    <t>SALÃO</t>
  </si>
  <si>
    <t>ESC INDIGENA MASPA KAXINAWA</t>
  </si>
  <si>
    <t>GOIANIA</t>
  </si>
  <si>
    <t>ESC INDIGENA MOACIR BRANDAO</t>
  </si>
  <si>
    <t>NOVA VIDA</t>
  </si>
  <si>
    <t>ESC INDIGENA NAPOLEAO MOREIRA</t>
  </si>
  <si>
    <t>COMUNIDADE PAZ</t>
  </si>
  <si>
    <t>ESC INDIGENA NAPOLEAO PEREIRA FELIX</t>
  </si>
  <si>
    <t>BOM FUTURO</t>
  </si>
  <si>
    <t>ESC INDIGENA NAWAWAE</t>
  </si>
  <si>
    <t>ALTO CAETÉ</t>
  </si>
  <si>
    <t>EXTREMA</t>
  </si>
  <si>
    <t>ESC INDIGENA NII WANINAWA</t>
  </si>
  <si>
    <t>WANINAWA</t>
  </si>
  <si>
    <t>ESC INDIGENA NIXIWAKA</t>
  </si>
  <si>
    <t>AMPARO</t>
  </si>
  <si>
    <t>ESC INDIGENA NOGUEIRA RAMOS</t>
  </si>
  <si>
    <t>SANTO ANTONIO</t>
  </si>
  <si>
    <t>ESC INDIGENA NOSSA SENHORA DA CONCEICAO</t>
  </si>
  <si>
    <t>PERI</t>
  </si>
  <si>
    <t>ESC INDIGENA NOSSA SENHORA DE FATIMA</t>
  </si>
  <si>
    <t>CARAPANÃ</t>
  </si>
  <si>
    <t>ESC INDIGENA NOSSA SENHORA DE FATIMA - ANEXO I - VISTA ALEGRE</t>
  </si>
  <si>
    <t>VISTA ALEGRE</t>
  </si>
  <si>
    <t>ESC INDIGENA NOSSA SENHORA DE FATIMA - ANEXO II - SÃO JOÃO</t>
  </si>
  <si>
    <t>ESC INDIGENA NOSSA SENHORA DE FATIMA - ANEXO III - POVO JUNTO</t>
  </si>
  <si>
    <t>POVO JUNTO</t>
  </si>
  <si>
    <t>ESC INDIGENA NOVA MOEMA</t>
  </si>
  <si>
    <t>NOVA MOEMA</t>
  </si>
  <si>
    <t>ESC INDIGENA NOVA VIDA</t>
  </si>
  <si>
    <t>LIBERDADE</t>
  </si>
  <si>
    <t>ESC INDIGENA NOVO MARINHO</t>
  </si>
  <si>
    <t>NOVO MARINHO</t>
  </si>
  <si>
    <t>ESC INDIGENA OLIVIA ALVES</t>
  </si>
  <si>
    <t>RIO TAUARY</t>
  </si>
  <si>
    <t>NOMANAWA</t>
  </si>
  <si>
    <t>ESC INDIGENA PADRE PAOLINO</t>
  </si>
  <si>
    <t>MALOCA</t>
  </si>
  <si>
    <t>ESC INDIGENA PAREDAO</t>
  </si>
  <si>
    <t>PAREDÃO</t>
  </si>
  <si>
    <t>ESC INDIGENA PEDRO ANTONIO DE OLIVEIRA</t>
  </si>
  <si>
    <t>REPUBLICA</t>
  </si>
  <si>
    <t>ESC INDIGENA PEDRO DE SOUZA WANINAWA</t>
  </si>
  <si>
    <t>MASHEYA</t>
  </si>
  <si>
    <t>ESC INDIGENA PEKOIBO</t>
  </si>
  <si>
    <t>BUENOS AIRES</t>
  </si>
  <si>
    <t>ESC INDIGENA PEKURUNI SHANENAWA</t>
  </si>
  <si>
    <t>VITÓRIA</t>
  </si>
  <si>
    <t>ESC INDIGENA PEO VARINAWA</t>
  </si>
  <si>
    <t>MARTINS</t>
  </si>
  <si>
    <t>ESC INDIGENA PIYAKATI</t>
  </si>
  <si>
    <t>TRÊS CACHOEIRA</t>
  </si>
  <si>
    <t>ESC INDIGENA PORTO ALEGRE</t>
  </si>
  <si>
    <t>SANTA CRUZ</t>
  </si>
  <si>
    <t>ESC INDIGENA PUPUNHA</t>
  </si>
  <si>
    <t>PUPUNHA</t>
  </si>
  <si>
    <t>ESC INDIGENA QUATRO IRMAS</t>
  </si>
  <si>
    <t>ESC INDIGENA RUA BUSE TUWENI</t>
  </si>
  <si>
    <t>FORMOSO</t>
  </si>
  <si>
    <t>ESC INDIGENA SALAO</t>
  </si>
  <si>
    <t>SALÃO BRANCO</t>
  </si>
  <si>
    <t>ESC INDIGENA SAMPAIO SIA</t>
  </si>
  <si>
    <t>ESC INDIGENA SANTA JULIA</t>
  </si>
  <si>
    <t>SANTA JULIA</t>
  </si>
  <si>
    <t>ESC INDIGENA SANTA RITA</t>
  </si>
  <si>
    <t>GLORIA DE DEUS</t>
  </si>
  <si>
    <t>ESC INDIGENA SANTA ROSA</t>
  </si>
  <si>
    <t>ESC INDIGENA SANTO AMARO</t>
  </si>
  <si>
    <t>SANTO AMARO</t>
  </si>
  <si>
    <t>ESC INDIGENA SAO FRANCISCO I</t>
  </si>
  <si>
    <t>MUCURIPE</t>
  </si>
  <si>
    <t>ESC INDIGENA SAO FRANCISCO I - ANEXO</t>
  </si>
  <si>
    <t>ESC INDIGENA SAO FRANCISCO II</t>
  </si>
  <si>
    <t>NOVO FUTURO</t>
  </si>
  <si>
    <t>ESC INDIGENA SAO FRANCISCO II -  ANEXO ALDEIA KAYA</t>
  </si>
  <si>
    <t>KAYA</t>
  </si>
  <si>
    <t>ESC INDIGENA SAO JOAO BATISTA</t>
  </si>
  <si>
    <t>PORTO RICO</t>
  </si>
  <si>
    <t>ESC INDIGENA SAO JOSE I</t>
  </si>
  <si>
    <t>SÃO VICENTE</t>
  </si>
  <si>
    <t>ESC INDIGENA SAO PAULINO</t>
  </si>
  <si>
    <t>SÃO PAULINO</t>
  </si>
  <si>
    <t>ESC INDIGENA SAO PEDRO</t>
  </si>
  <si>
    <t>LAGO NOVO</t>
  </si>
  <si>
    <t>ESC INDIGENA SAO RAIMUNDO NONATO</t>
  </si>
  <si>
    <t>SANTA ROSA</t>
  </si>
  <si>
    <t>ESC INDIGENA SAO SEBASTIAO</t>
  </si>
  <si>
    <t>IPIRANGA NOVO</t>
  </si>
  <si>
    <t>ESC INDIGENA SAYAVANE SHANENAWA</t>
  </si>
  <si>
    <t>DOIS IRMÃOS</t>
  </si>
  <si>
    <t>ESC INDIGENA SETE ESTRELAS</t>
  </si>
  <si>
    <t>ESC INDIGENA SETE VOLTAS</t>
  </si>
  <si>
    <t>ESC INDIGENA SETE VOLTAS - SANTARÉM</t>
  </si>
  <si>
    <t>SANTARÉM</t>
  </si>
  <si>
    <t>ESC INDIGENA SHANENAWA</t>
  </si>
  <si>
    <t>ESC INDIGENA SHETEHU SHANENAWA</t>
  </si>
  <si>
    <t>ALDEIA 40</t>
  </si>
  <si>
    <t>ESC INDIGENA SHIMEWIDI</t>
  </si>
  <si>
    <t>SETE ESTRELAS</t>
  </si>
  <si>
    <t>ESC INDIGENA SIANY</t>
  </si>
  <si>
    <t>IGARAPÉ PRETO</t>
  </si>
  <si>
    <t>ESC INDIGENA SIMPATIA</t>
  </si>
  <si>
    <t>SIMPATIA</t>
  </si>
  <si>
    <t>ESC INDIGENA SOBRAL</t>
  </si>
  <si>
    <t>SOBRAL</t>
  </si>
  <si>
    <t>ESC INDIGENA TAMAKAYA</t>
  </si>
  <si>
    <t>ESC INDIGENA TEKAHAYNE SHANENAWA</t>
  </si>
  <si>
    <t>ESC INDIGENA TERRA NOVA</t>
  </si>
  <si>
    <t>TERRA NOVA</t>
  </si>
  <si>
    <t>ESC INDIGENA TKATSHI</t>
  </si>
  <si>
    <t>VIDA NA FLORESTA</t>
  </si>
  <si>
    <t>ESC INDIGENA TRES IRMAOS</t>
  </si>
  <si>
    <t>ESC INDIGENA TUNUMA</t>
  </si>
  <si>
    <t>BOCA DO CANAMARI</t>
  </si>
  <si>
    <t>ESC INDIGENA TXANA</t>
  </si>
  <si>
    <t>CARDOSO</t>
  </si>
  <si>
    <t>ESC INDIGENA TXANA BIXATI HUI BAI</t>
  </si>
  <si>
    <t>BOCA DO GROTA</t>
  </si>
  <si>
    <t>ESC INDIGENA TXANA HUNI KENEYA</t>
  </si>
  <si>
    <t>NOVO NATAL</t>
  </si>
  <si>
    <t>ESC INDIGENA TXANA MANA</t>
  </si>
  <si>
    <t>ESC INDIGENA TXANA PERA</t>
  </si>
  <si>
    <t>BOA SORTE</t>
  </si>
  <si>
    <t>ESC INDIGENA TXANA PERA - ANEXO</t>
  </si>
  <si>
    <t>ESPELHO DA VIDA</t>
  </si>
  <si>
    <t>ESC INDIGENA TXANA TUWE BENA YSAKA</t>
  </si>
  <si>
    <t>PORTO ALEGRE</t>
  </si>
  <si>
    <t>ESC INDIGENA TXANA TUWE BENA YSAKA - ANEXO</t>
  </si>
  <si>
    <t>YUBE BERU MUKAYA</t>
  </si>
  <si>
    <t>ESC INDIGENA UIRAPURU</t>
  </si>
  <si>
    <t>JAPINIM</t>
  </si>
  <si>
    <t>ESC INDIGENA USHE</t>
  </si>
  <si>
    <t>ESC INDIGENA WIXI TAPIMATI PESHE MANA YAWANAWA</t>
  </si>
  <si>
    <t>ESC INDIGENA WIXY TAPIMATY PANA YAMANAWA</t>
  </si>
  <si>
    <t>ESC INDIGENA WIXY TAPIMATY PESHE TUI KURU</t>
  </si>
  <si>
    <t>MUTUM</t>
  </si>
  <si>
    <t>ESC INDIGENA WIXY TAPIMATY PESHE TUI KURU - ANEXO I</t>
  </si>
  <si>
    <t>TERRA ALTA</t>
  </si>
  <si>
    <t>ESC INDIGENA WIXY TAPIMATY PESHE TUI KURU - ANEXO II</t>
  </si>
  <si>
    <t>YAWAKUNI</t>
  </si>
  <si>
    <t>ESC INDIGENA WIXY TAPIMATY PESHE TUI KURU - ANEXO IV</t>
  </si>
  <si>
    <t>YAWASAY</t>
  </si>
  <si>
    <t>ESC INDIGENA XINA VEDA</t>
  </si>
  <si>
    <t>VIDA NOVA</t>
  </si>
  <si>
    <t>ESC INDIGENA XINAWEDA</t>
  </si>
  <si>
    <t>SANTA FÉ</t>
  </si>
  <si>
    <t>ESC INDIGENA YONPIXWALU HIMATKALU</t>
  </si>
  <si>
    <t>ALVES RODRIGUES</t>
  </si>
  <si>
    <t>ESC INDIGENA YUBE TUE BENA KENEYA</t>
  </si>
  <si>
    <t xml:space="preserve">Total: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</si>
</sst>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8.0"/>
      <color theme="1"/>
      <name val="Arial"/>
    </font>
    <font>
      <b/>
      <sz val="10.0"/>
      <color theme="1"/>
      <name val="Arial Narrow"/>
    </font>
    <font/>
    <font>
      <sz val="8.0"/>
      <color theme="1"/>
      <name val="Arial"/>
    </font>
    <font>
      <b/>
      <sz val="10.0"/>
      <color rgb="FF000000"/>
      <name val="Arial Narrow"/>
    </font>
    <font>
      <sz val="10.0"/>
      <color rgb="FF000000"/>
      <name val="Arial Narrow"/>
    </font>
    <font>
      <sz val="10.0"/>
      <color theme="1"/>
      <name val="Arial Narrow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/>
    </xf>
    <xf borderId="5" fillId="0" fontId="3" numFmtId="0" xfId="0" applyBorder="1" applyFont="1"/>
    <xf borderId="4" fillId="2" fontId="2" numFmtId="0" xfId="0" applyAlignment="1" applyBorder="1" applyFont="1">
      <alignment horizontal="center" shrinkToFit="0" wrapText="1"/>
    </xf>
    <xf borderId="6" fillId="0" fontId="3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1" fillId="3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3" fontId="1" numFmtId="0" xfId="0" applyBorder="1" applyFont="1"/>
    <xf borderId="1" fillId="3" fontId="4" numFmtId="0" xfId="0" applyAlignment="1" applyBorder="1" applyFont="1">
      <alignment horizontal="center"/>
    </xf>
    <xf borderId="1" fillId="4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3" fontId="1" numFmtId="0" xfId="0" applyFont="1"/>
    <xf borderId="0" fillId="3" fontId="1" numFmtId="0" xfId="0" applyAlignment="1" applyFont="1">
      <alignment horizontal="center"/>
    </xf>
    <xf borderId="10" fillId="0" fontId="3" numFmtId="0" xfId="0" applyBorder="1" applyFont="1"/>
    <xf borderId="1" fillId="2" fontId="1" numFmtId="0" xfId="0" applyAlignment="1" applyBorder="1" applyFont="1">
      <alignment horizont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43"/>
    <col customWidth="1" min="2" max="2" width="18.43"/>
    <col customWidth="1" min="3" max="3" width="10.29"/>
    <col customWidth="1" min="4" max="4" width="43.57"/>
    <col customWidth="1" min="5" max="5" width="16.71"/>
    <col customWidth="1" min="6" max="6" width="26.0"/>
    <col customWidth="1" min="7" max="7" width="20.57"/>
    <col customWidth="1" min="8" max="8" width="7.86"/>
    <col customWidth="1" min="9" max="9" width="7.71"/>
    <col customWidth="1" min="10" max="28" width="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9</v>
      </c>
      <c r="J1" s="4" t="s">
        <v>10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7"/>
    </row>
    <row r="2">
      <c r="A2" s="1"/>
      <c r="B2" s="1"/>
      <c r="C2" s="1"/>
      <c r="D2" s="1"/>
      <c r="E2" s="1"/>
      <c r="F2" s="1"/>
      <c r="G2" s="1"/>
      <c r="H2" s="8"/>
      <c r="I2" s="8"/>
      <c r="J2" s="1" t="s">
        <v>15</v>
      </c>
      <c r="K2" s="1" t="s">
        <v>16</v>
      </c>
      <c r="L2" s="1" t="s">
        <v>17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22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</row>
    <row r="3">
      <c r="A3" s="11">
        <v>76.0</v>
      </c>
      <c r="B3" s="13" t="s">
        <v>35</v>
      </c>
      <c r="C3" s="11">
        <v>1.2027804E7</v>
      </c>
      <c r="D3" s="13" t="s">
        <v>38</v>
      </c>
      <c r="E3" s="11" t="s">
        <v>39</v>
      </c>
      <c r="F3" s="11" t="s">
        <v>40</v>
      </c>
      <c r="G3" s="11" t="s">
        <v>42</v>
      </c>
      <c r="H3" s="11">
        <v>28.0</v>
      </c>
      <c r="I3" s="11">
        <v>26.0</v>
      </c>
      <c r="J3" s="14">
        <v>7.0</v>
      </c>
      <c r="K3" s="14">
        <v>2.0</v>
      </c>
      <c r="L3" s="14">
        <v>3.0</v>
      </c>
      <c r="M3" s="14">
        <v>2.0</v>
      </c>
      <c r="N3" s="14">
        <v>4.0</v>
      </c>
      <c r="O3" s="14">
        <v>5.0</v>
      </c>
      <c r="P3" s="14">
        <f t="shared" ref="P3:P178" si="1">SUM(K3:O3)</f>
        <v>16</v>
      </c>
      <c r="Q3" s="14">
        <v>3.0</v>
      </c>
      <c r="R3" s="14">
        <v>5.0</v>
      </c>
      <c r="S3" s="14">
        <v>1.0</v>
      </c>
      <c r="T3" s="14">
        <v>7.0</v>
      </c>
      <c r="U3" s="14">
        <f t="shared" ref="U3:U178" si="2">SUM(Q3:T3)</f>
        <v>16</v>
      </c>
      <c r="V3" s="14">
        <v>4.0</v>
      </c>
      <c r="W3" s="14">
        <v>4.0</v>
      </c>
      <c r="X3" s="14">
        <v>7.0</v>
      </c>
      <c r="Y3" s="14">
        <f t="shared" ref="Y3:Y178" si="3">SUM(V3:X3)</f>
        <v>15</v>
      </c>
      <c r="Z3" s="14">
        <v>0.0</v>
      </c>
      <c r="AA3" s="14">
        <v>0.0</v>
      </c>
      <c r="AB3" s="11">
        <f t="shared" ref="AB3:AB178" si="4">J3+P3+U3+Y3+Z3+AA3</f>
        <v>54</v>
      </c>
    </row>
    <row r="4">
      <c r="A4" s="11">
        <v>44.0</v>
      </c>
      <c r="B4" s="13" t="s">
        <v>49</v>
      </c>
      <c r="C4" s="11">
        <v>1.20208E7</v>
      </c>
      <c r="D4" s="13" t="s">
        <v>50</v>
      </c>
      <c r="E4" s="11" t="s">
        <v>51</v>
      </c>
      <c r="F4" s="11" t="s">
        <v>52</v>
      </c>
      <c r="G4" s="11" t="s">
        <v>53</v>
      </c>
      <c r="H4" s="11">
        <v>37.0</v>
      </c>
      <c r="I4" s="11">
        <v>26.0</v>
      </c>
      <c r="J4" s="14">
        <v>0.0</v>
      </c>
      <c r="K4" s="14">
        <v>0.0</v>
      </c>
      <c r="L4" s="14">
        <v>1.0</v>
      </c>
      <c r="M4" s="14">
        <v>6.0</v>
      </c>
      <c r="N4" s="14">
        <v>10.0</v>
      </c>
      <c r="O4" s="14">
        <v>8.0</v>
      </c>
      <c r="P4" s="14">
        <f t="shared" si="1"/>
        <v>25</v>
      </c>
      <c r="Q4" s="14">
        <v>5.0</v>
      </c>
      <c r="R4" s="14">
        <v>33.0</v>
      </c>
      <c r="S4" s="14">
        <v>0.0</v>
      </c>
      <c r="T4" s="14">
        <v>0.0</v>
      </c>
      <c r="U4" s="14">
        <f t="shared" si="2"/>
        <v>38</v>
      </c>
      <c r="V4" s="14">
        <v>0.0</v>
      </c>
      <c r="W4" s="14">
        <v>0.0</v>
      </c>
      <c r="X4" s="14">
        <v>0.0</v>
      </c>
      <c r="Y4" s="14">
        <f t="shared" si="3"/>
        <v>0</v>
      </c>
      <c r="Z4" s="14">
        <v>0.0</v>
      </c>
      <c r="AA4" s="14">
        <v>0.0</v>
      </c>
      <c r="AB4" s="11">
        <f t="shared" si="4"/>
        <v>63</v>
      </c>
    </row>
    <row r="5">
      <c r="A5" s="11" t="s">
        <v>36</v>
      </c>
      <c r="B5" s="13" t="s">
        <v>49</v>
      </c>
      <c r="C5" s="11">
        <v>1.20208E7</v>
      </c>
      <c r="D5" s="13" t="s">
        <v>54</v>
      </c>
      <c r="E5" s="11" t="s">
        <v>51</v>
      </c>
      <c r="F5" s="11" t="s">
        <v>52</v>
      </c>
      <c r="G5" s="11" t="s">
        <v>55</v>
      </c>
      <c r="H5" s="11">
        <v>18.0</v>
      </c>
      <c r="I5" s="11">
        <v>15.0</v>
      </c>
      <c r="J5" s="14">
        <v>0.0</v>
      </c>
      <c r="K5" s="14">
        <v>2.0</v>
      </c>
      <c r="L5" s="14">
        <v>4.0</v>
      </c>
      <c r="M5" s="14">
        <v>3.0</v>
      </c>
      <c r="N5" s="14">
        <v>6.0</v>
      </c>
      <c r="O5" s="14">
        <v>1.0</v>
      </c>
      <c r="P5" s="14">
        <f t="shared" si="1"/>
        <v>16</v>
      </c>
      <c r="Q5" s="14">
        <v>13.0</v>
      </c>
      <c r="R5" s="14">
        <v>4.0</v>
      </c>
      <c r="S5" s="14">
        <v>0.0</v>
      </c>
      <c r="T5" s="14">
        <v>0.0</v>
      </c>
      <c r="U5" s="14">
        <f t="shared" si="2"/>
        <v>17</v>
      </c>
      <c r="V5" s="14">
        <v>0.0</v>
      </c>
      <c r="W5" s="14">
        <v>0.0</v>
      </c>
      <c r="X5" s="14">
        <v>0.0</v>
      </c>
      <c r="Y5" s="14">
        <f t="shared" si="3"/>
        <v>0</v>
      </c>
      <c r="Z5" s="14">
        <v>0.0</v>
      </c>
      <c r="AA5" s="14">
        <v>0.0</v>
      </c>
      <c r="AB5" s="11">
        <f t="shared" si="4"/>
        <v>33</v>
      </c>
    </row>
    <row r="6">
      <c r="A6" s="11" t="s">
        <v>36</v>
      </c>
      <c r="B6" s="13" t="s">
        <v>49</v>
      </c>
      <c r="C6" s="11">
        <v>1.20208E7</v>
      </c>
      <c r="D6" s="13" t="s">
        <v>57</v>
      </c>
      <c r="E6" s="11" t="s">
        <v>51</v>
      </c>
      <c r="F6" s="11" t="s">
        <v>52</v>
      </c>
      <c r="G6" s="11" t="s">
        <v>58</v>
      </c>
      <c r="H6" s="11">
        <v>7.0</v>
      </c>
      <c r="I6" s="11">
        <v>7.0</v>
      </c>
      <c r="J6" s="14">
        <v>0.0</v>
      </c>
      <c r="K6" s="14">
        <v>0.0</v>
      </c>
      <c r="L6" s="14">
        <v>2.0</v>
      </c>
      <c r="M6" s="14">
        <v>0.0</v>
      </c>
      <c r="N6" s="14">
        <v>1.0</v>
      </c>
      <c r="O6" s="14">
        <v>5.0</v>
      </c>
      <c r="P6" s="14">
        <f t="shared" si="1"/>
        <v>8</v>
      </c>
      <c r="Q6" s="14">
        <v>6.0</v>
      </c>
      <c r="R6" s="14">
        <v>0.0</v>
      </c>
      <c r="S6" s="14">
        <v>0.0</v>
      </c>
      <c r="T6" s="14">
        <v>0.0</v>
      </c>
      <c r="U6" s="14">
        <f t="shared" si="2"/>
        <v>6</v>
      </c>
      <c r="V6" s="14">
        <v>0.0</v>
      </c>
      <c r="W6" s="14">
        <v>0.0</v>
      </c>
      <c r="X6" s="14">
        <v>0.0</v>
      </c>
      <c r="Y6" s="14">
        <f t="shared" si="3"/>
        <v>0</v>
      </c>
      <c r="Z6" s="14">
        <v>0.0</v>
      </c>
      <c r="AA6" s="14">
        <v>0.0</v>
      </c>
      <c r="AB6" s="11">
        <f t="shared" si="4"/>
        <v>14</v>
      </c>
    </row>
    <row r="7">
      <c r="A7" s="11">
        <v>37.0</v>
      </c>
      <c r="B7" s="13" t="s">
        <v>49</v>
      </c>
      <c r="C7" s="11">
        <v>1.2027243E7</v>
      </c>
      <c r="D7" s="13" t="s">
        <v>61</v>
      </c>
      <c r="E7" s="11" t="s">
        <v>62</v>
      </c>
      <c r="F7" s="11" t="s">
        <v>63</v>
      </c>
      <c r="G7" s="11" t="s">
        <v>65</v>
      </c>
      <c r="H7" s="11">
        <v>37.0</v>
      </c>
      <c r="I7" s="11">
        <v>37.0</v>
      </c>
      <c r="J7" s="14">
        <v>0.0</v>
      </c>
      <c r="K7" s="14">
        <v>8.0</v>
      </c>
      <c r="L7" s="14">
        <v>1.0</v>
      </c>
      <c r="M7" s="14">
        <v>9.0</v>
      </c>
      <c r="N7" s="14">
        <v>7.0</v>
      </c>
      <c r="O7" s="14">
        <v>8.0</v>
      </c>
      <c r="P7" s="14">
        <f t="shared" si="1"/>
        <v>33</v>
      </c>
      <c r="Q7" s="14">
        <v>5.0</v>
      </c>
      <c r="R7" s="14">
        <v>20.0</v>
      </c>
      <c r="S7" s="14">
        <v>8.0</v>
      </c>
      <c r="T7" s="14">
        <v>8.0</v>
      </c>
      <c r="U7" s="14">
        <f t="shared" si="2"/>
        <v>41</v>
      </c>
      <c r="V7" s="14">
        <v>0.0</v>
      </c>
      <c r="W7" s="14">
        <v>0.0</v>
      </c>
      <c r="X7" s="14">
        <v>0.0</v>
      </c>
      <c r="Y7" s="14">
        <f t="shared" si="3"/>
        <v>0</v>
      </c>
      <c r="Z7" s="14">
        <v>0.0</v>
      </c>
      <c r="AA7" s="14">
        <v>0.0</v>
      </c>
      <c r="AB7" s="11">
        <f t="shared" si="4"/>
        <v>74</v>
      </c>
    </row>
    <row r="8">
      <c r="A8" s="11" t="s">
        <v>36</v>
      </c>
      <c r="B8" s="13" t="s">
        <v>49</v>
      </c>
      <c r="C8" s="11">
        <v>1.2027243E7</v>
      </c>
      <c r="D8" s="13" t="s">
        <v>68</v>
      </c>
      <c r="E8" s="11" t="s">
        <v>62</v>
      </c>
      <c r="F8" s="11" t="s">
        <v>63</v>
      </c>
      <c r="G8" s="11" t="s">
        <v>69</v>
      </c>
      <c r="H8" s="11">
        <v>9.0</v>
      </c>
      <c r="I8" s="11">
        <v>9.0</v>
      </c>
      <c r="J8" s="14">
        <v>0.0</v>
      </c>
      <c r="K8" s="14">
        <v>1.0</v>
      </c>
      <c r="L8" s="14">
        <v>1.0</v>
      </c>
      <c r="M8" s="14">
        <v>2.0</v>
      </c>
      <c r="N8" s="14">
        <v>1.0</v>
      </c>
      <c r="O8" s="14">
        <v>3.0</v>
      </c>
      <c r="P8" s="14">
        <f t="shared" si="1"/>
        <v>8</v>
      </c>
      <c r="Q8" s="14">
        <v>9.0</v>
      </c>
      <c r="R8" s="14">
        <v>1.0</v>
      </c>
      <c r="S8" s="14">
        <v>0.0</v>
      </c>
      <c r="T8" s="14">
        <v>0.0</v>
      </c>
      <c r="U8" s="14">
        <f t="shared" si="2"/>
        <v>10</v>
      </c>
      <c r="V8" s="14">
        <v>0.0</v>
      </c>
      <c r="W8" s="14">
        <v>0.0</v>
      </c>
      <c r="X8" s="14">
        <v>0.0</v>
      </c>
      <c r="Y8" s="14">
        <f t="shared" si="3"/>
        <v>0</v>
      </c>
      <c r="Z8" s="14">
        <v>0.0</v>
      </c>
      <c r="AA8" s="14">
        <v>0.0</v>
      </c>
      <c r="AB8" s="11">
        <f t="shared" si="4"/>
        <v>18</v>
      </c>
    </row>
    <row r="9">
      <c r="A9" s="11" t="s">
        <v>36</v>
      </c>
      <c r="B9" s="13" t="s">
        <v>49</v>
      </c>
      <c r="C9" s="11">
        <v>1.2027243E7</v>
      </c>
      <c r="D9" s="13" t="s">
        <v>73</v>
      </c>
      <c r="E9" s="11" t="s">
        <v>62</v>
      </c>
      <c r="F9" s="11" t="s">
        <v>63</v>
      </c>
      <c r="G9" s="11" t="s">
        <v>74</v>
      </c>
      <c r="H9" s="11">
        <v>12.0</v>
      </c>
      <c r="I9" s="11">
        <v>8.0</v>
      </c>
      <c r="J9" s="14">
        <v>0.0</v>
      </c>
      <c r="K9" s="14">
        <v>0.0</v>
      </c>
      <c r="L9" s="14">
        <v>5.0</v>
      </c>
      <c r="M9" s="14">
        <v>6.0</v>
      </c>
      <c r="N9" s="14">
        <v>2.0</v>
      </c>
      <c r="O9" s="14">
        <v>5.0</v>
      </c>
      <c r="P9" s="14">
        <f t="shared" si="1"/>
        <v>18</v>
      </c>
      <c r="Q9" s="14">
        <v>2.0</v>
      </c>
      <c r="R9" s="14">
        <v>0.0</v>
      </c>
      <c r="S9" s="14">
        <v>0.0</v>
      </c>
      <c r="T9" s="14">
        <v>0.0</v>
      </c>
      <c r="U9" s="14">
        <f t="shared" si="2"/>
        <v>2</v>
      </c>
      <c r="V9" s="14">
        <v>0.0</v>
      </c>
      <c r="W9" s="14">
        <v>0.0</v>
      </c>
      <c r="X9" s="14">
        <v>0.0</v>
      </c>
      <c r="Y9" s="14">
        <f t="shared" si="3"/>
        <v>0</v>
      </c>
      <c r="Z9" s="14">
        <v>0.0</v>
      </c>
      <c r="AA9" s="14">
        <v>0.0</v>
      </c>
      <c r="AB9" s="11">
        <f t="shared" si="4"/>
        <v>20</v>
      </c>
    </row>
    <row r="10">
      <c r="A10" s="11">
        <v>69.0</v>
      </c>
      <c r="B10" s="13" t="s">
        <v>77</v>
      </c>
      <c r="C10" s="11">
        <v>1.2018848E7</v>
      </c>
      <c r="D10" s="13" t="s">
        <v>78</v>
      </c>
      <c r="E10" s="11" t="s">
        <v>79</v>
      </c>
      <c r="F10" s="11" t="s">
        <v>80</v>
      </c>
      <c r="G10" s="11" t="s">
        <v>81</v>
      </c>
      <c r="H10" s="11">
        <v>20.0</v>
      </c>
      <c r="I10" s="11">
        <v>16.0</v>
      </c>
      <c r="J10" s="14">
        <v>0.0</v>
      </c>
      <c r="K10" s="14">
        <v>1.0</v>
      </c>
      <c r="L10" s="14">
        <v>0.0</v>
      </c>
      <c r="M10" s="14">
        <v>4.0</v>
      </c>
      <c r="N10" s="14">
        <v>3.0</v>
      </c>
      <c r="O10" s="14">
        <v>0.0</v>
      </c>
      <c r="P10" s="14">
        <f t="shared" si="1"/>
        <v>8</v>
      </c>
      <c r="Q10" s="14">
        <v>3.0</v>
      </c>
      <c r="R10" s="14">
        <v>5.0</v>
      </c>
      <c r="S10" s="14">
        <v>3.0</v>
      </c>
      <c r="T10" s="14">
        <v>2.0</v>
      </c>
      <c r="U10" s="14">
        <f t="shared" si="2"/>
        <v>13</v>
      </c>
      <c r="V10" s="14">
        <v>0.0</v>
      </c>
      <c r="W10" s="14">
        <v>0.0</v>
      </c>
      <c r="X10" s="14">
        <v>0.0</v>
      </c>
      <c r="Y10" s="14">
        <f t="shared" si="3"/>
        <v>0</v>
      </c>
      <c r="Z10" s="14">
        <v>15.0</v>
      </c>
      <c r="AA10" s="14">
        <v>0.0</v>
      </c>
      <c r="AB10" s="11">
        <f t="shared" si="4"/>
        <v>36</v>
      </c>
    </row>
    <row r="11">
      <c r="A11" s="11">
        <v>57.0</v>
      </c>
      <c r="B11" s="13" t="s">
        <v>49</v>
      </c>
      <c r="C11" s="11">
        <v>1.2033758E7</v>
      </c>
      <c r="D11" s="13" t="s">
        <v>86</v>
      </c>
      <c r="E11" s="11" t="s">
        <v>87</v>
      </c>
      <c r="F11" s="11" t="s">
        <v>88</v>
      </c>
      <c r="G11" s="11" t="s">
        <v>89</v>
      </c>
      <c r="H11" s="11">
        <v>13.0</v>
      </c>
      <c r="I11" s="11">
        <v>12.0</v>
      </c>
      <c r="J11" s="14">
        <v>0.0</v>
      </c>
      <c r="K11" s="14">
        <v>0.0</v>
      </c>
      <c r="L11" s="14">
        <v>2.0</v>
      </c>
      <c r="M11" s="14">
        <v>4.0</v>
      </c>
      <c r="N11" s="14">
        <v>2.0</v>
      </c>
      <c r="O11" s="14">
        <v>2.0</v>
      </c>
      <c r="P11" s="14">
        <f t="shared" si="1"/>
        <v>10</v>
      </c>
      <c r="Q11" s="14">
        <v>5.0</v>
      </c>
      <c r="R11" s="14">
        <v>2.0</v>
      </c>
      <c r="S11" s="14">
        <v>5.0</v>
      </c>
      <c r="T11" s="14">
        <v>3.0</v>
      </c>
      <c r="U11" s="14">
        <f t="shared" si="2"/>
        <v>15</v>
      </c>
      <c r="V11" s="14">
        <v>0.0</v>
      </c>
      <c r="W11" s="14">
        <v>0.0</v>
      </c>
      <c r="X11" s="14">
        <v>0.0</v>
      </c>
      <c r="Y11" s="14">
        <f t="shared" si="3"/>
        <v>0</v>
      </c>
      <c r="Z11" s="14">
        <v>0.0</v>
      </c>
      <c r="AA11" s="14">
        <v>0.0</v>
      </c>
      <c r="AB11" s="11">
        <f t="shared" si="4"/>
        <v>25</v>
      </c>
    </row>
    <row r="12">
      <c r="A12" s="11">
        <v>83.0</v>
      </c>
      <c r="B12" s="13" t="s">
        <v>64</v>
      </c>
      <c r="C12" s="11">
        <v>1.2025364E7</v>
      </c>
      <c r="D12" s="13" t="s">
        <v>92</v>
      </c>
      <c r="E12" s="11" t="s">
        <v>51</v>
      </c>
      <c r="F12" s="11" t="s">
        <v>93</v>
      </c>
      <c r="G12" s="11" t="s">
        <v>65</v>
      </c>
      <c r="H12" s="11">
        <v>8.0</v>
      </c>
      <c r="I12" s="11">
        <v>7.0</v>
      </c>
      <c r="J12" s="14">
        <v>0.0</v>
      </c>
      <c r="K12" s="14">
        <v>3.0</v>
      </c>
      <c r="L12" s="14">
        <v>1.0</v>
      </c>
      <c r="M12" s="14">
        <v>9.0</v>
      </c>
      <c r="N12" s="14">
        <v>2.0</v>
      </c>
      <c r="O12" s="14">
        <v>0.0</v>
      </c>
      <c r="P12" s="14">
        <f t="shared" si="1"/>
        <v>15</v>
      </c>
      <c r="Q12" s="14">
        <v>0.0</v>
      </c>
      <c r="R12" s="14">
        <v>0.0</v>
      </c>
      <c r="S12" s="14">
        <v>0.0</v>
      </c>
      <c r="T12" s="14">
        <v>0.0</v>
      </c>
      <c r="U12" s="14">
        <f t="shared" si="2"/>
        <v>0</v>
      </c>
      <c r="V12" s="14">
        <v>0.0</v>
      </c>
      <c r="W12" s="14">
        <v>0.0</v>
      </c>
      <c r="X12" s="14">
        <v>0.0</v>
      </c>
      <c r="Y12" s="14">
        <f t="shared" si="3"/>
        <v>0</v>
      </c>
      <c r="Z12" s="14">
        <v>0.0</v>
      </c>
      <c r="AA12" s="14">
        <v>0.0</v>
      </c>
      <c r="AB12" s="11">
        <f t="shared" si="4"/>
        <v>15</v>
      </c>
    </row>
    <row r="13">
      <c r="A13" s="11">
        <v>88.0</v>
      </c>
      <c r="B13" s="13" t="s">
        <v>95</v>
      </c>
      <c r="C13" s="11">
        <v>1.2003034E7</v>
      </c>
      <c r="D13" s="13" t="s">
        <v>96</v>
      </c>
      <c r="E13" s="11" t="s">
        <v>97</v>
      </c>
      <c r="F13" s="11" t="s">
        <v>98</v>
      </c>
      <c r="G13" s="11" t="s">
        <v>99</v>
      </c>
      <c r="H13" s="11">
        <v>24.0</v>
      </c>
      <c r="I13" s="11">
        <v>16.0</v>
      </c>
      <c r="J13" s="14">
        <v>5.0</v>
      </c>
      <c r="K13" s="14">
        <v>4.0</v>
      </c>
      <c r="L13" s="14">
        <v>1.0</v>
      </c>
      <c r="M13" s="14">
        <v>2.0</v>
      </c>
      <c r="N13" s="14">
        <v>1.0</v>
      </c>
      <c r="O13" s="14">
        <v>6.0</v>
      </c>
      <c r="P13" s="14">
        <f t="shared" si="1"/>
        <v>14</v>
      </c>
      <c r="Q13" s="14">
        <v>7.0</v>
      </c>
      <c r="R13" s="14">
        <v>2.0</v>
      </c>
      <c r="S13" s="14">
        <v>3.0</v>
      </c>
      <c r="T13" s="14">
        <v>2.0</v>
      </c>
      <c r="U13" s="14">
        <f t="shared" si="2"/>
        <v>14</v>
      </c>
      <c r="V13" s="14">
        <v>0.0</v>
      </c>
      <c r="W13" s="14">
        <v>7.0</v>
      </c>
      <c r="X13" s="14">
        <v>0.0</v>
      </c>
      <c r="Y13" s="14">
        <f t="shared" si="3"/>
        <v>7</v>
      </c>
      <c r="Z13" s="14">
        <v>0.0</v>
      </c>
      <c r="AA13" s="14">
        <v>0.0</v>
      </c>
      <c r="AB13" s="11">
        <f t="shared" si="4"/>
        <v>40</v>
      </c>
    </row>
    <row r="14">
      <c r="A14" s="11" t="s">
        <v>36</v>
      </c>
      <c r="B14" s="13" t="s">
        <v>95</v>
      </c>
      <c r="C14" s="11">
        <v>1.2003034E7</v>
      </c>
      <c r="D14" s="13" t="s">
        <v>100</v>
      </c>
      <c r="E14" s="11" t="s">
        <v>97</v>
      </c>
      <c r="F14" s="11" t="s">
        <v>98</v>
      </c>
      <c r="G14" s="11" t="s">
        <v>101</v>
      </c>
      <c r="H14" s="11">
        <v>16.0</v>
      </c>
      <c r="I14" s="11">
        <v>11.0</v>
      </c>
      <c r="J14" s="14">
        <v>8.0</v>
      </c>
      <c r="K14" s="14">
        <v>3.0</v>
      </c>
      <c r="L14" s="14">
        <v>2.0</v>
      </c>
      <c r="M14" s="14">
        <v>0.0</v>
      </c>
      <c r="N14" s="14">
        <v>1.0</v>
      </c>
      <c r="O14" s="14">
        <v>2.0</v>
      </c>
      <c r="P14" s="14">
        <f t="shared" si="1"/>
        <v>8</v>
      </c>
      <c r="Q14" s="14">
        <v>2.0</v>
      </c>
      <c r="R14" s="14">
        <v>0.0</v>
      </c>
      <c r="S14" s="14">
        <v>7.0</v>
      </c>
      <c r="T14" s="14">
        <v>2.0</v>
      </c>
      <c r="U14" s="14">
        <f t="shared" si="2"/>
        <v>11</v>
      </c>
      <c r="V14" s="14">
        <v>0.0</v>
      </c>
      <c r="W14" s="14">
        <v>0.0</v>
      </c>
      <c r="X14" s="14">
        <v>0.0</v>
      </c>
      <c r="Y14" s="14">
        <f t="shared" si="3"/>
        <v>0</v>
      </c>
      <c r="Z14" s="14">
        <v>0.0</v>
      </c>
      <c r="AA14" s="14">
        <v>0.0</v>
      </c>
      <c r="AB14" s="11">
        <f t="shared" si="4"/>
        <v>27</v>
      </c>
    </row>
    <row r="15">
      <c r="A15" s="11">
        <v>89.0</v>
      </c>
      <c r="B15" s="13" t="s">
        <v>95</v>
      </c>
      <c r="C15" s="11">
        <v>1.2027103E7</v>
      </c>
      <c r="D15" s="13" t="s">
        <v>103</v>
      </c>
      <c r="E15" s="11" t="s">
        <v>97</v>
      </c>
      <c r="F15" s="11" t="s">
        <v>98</v>
      </c>
      <c r="G15" s="11" t="s">
        <v>104</v>
      </c>
      <c r="H15" s="11">
        <v>6.0</v>
      </c>
      <c r="I15" s="11">
        <v>9.0</v>
      </c>
      <c r="J15" s="14">
        <v>4.0</v>
      </c>
      <c r="K15" s="14">
        <v>4.0</v>
      </c>
      <c r="L15" s="14">
        <v>2.0</v>
      </c>
      <c r="M15" s="14">
        <v>0.0</v>
      </c>
      <c r="N15" s="14">
        <v>5.0</v>
      </c>
      <c r="O15" s="14">
        <v>0.0</v>
      </c>
      <c r="P15" s="14">
        <f t="shared" si="1"/>
        <v>11</v>
      </c>
      <c r="Q15" s="14">
        <v>0.0</v>
      </c>
      <c r="R15" s="14">
        <v>0.0</v>
      </c>
      <c r="S15" s="14">
        <v>0.0</v>
      </c>
      <c r="T15" s="14">
        <v>0.0</v>
      </c>
      <c r="U15" s="14">
        <f t="shared" si="2"/>
        <v>0</v>
      </c>
      <c r="V15" s="14">
        <v>0.0</v>
      </c>
      <c r="W15" s="14">
        <v>0.0</v>
      </c>
      <c r="X15" s="14">
        <v>0.0</v>
      </c>
      <c r="Y15" s="14">
        <f t="shared" si="3"/>
        <v>0</v>
      </c>
      <c r="Z15" s="14">
        <v>0.0</v>
      </c>
      <c r="AA15" s="14">
        <v>0.0</v>
      </c>
      <c r="AB15" s="11">
        <f t="shared" si="4"/>
        <v>15</v>
      </c>
    </row>
    <row r="16">
      <c r="A16" s="11">
        <v>31.0</v>
      </c>
      <c r="B16" s="13" t="s">
        <v>49</v>
      </c>
      <c r="C16" s="11">
        <v>1.2033774E7</v>
      </c>
      <c r="D16" s="13" t="s">
        <v>105</v>
      </c>
      <c r="E16" s="11" t="s">
        <v>62</v>
      </c>
      <c r="F16" s="11" t="s">
        <v>106</v>
      </c>
      <c r="G16" s="11" t="s">
        <v>107</v>
      </c>
      <c r="H16" s="11">
        <v>13.0</v>
      </c>
      <c r="I16" s="11">
        <v>8.0</v>
      </c>
      <c r="J16" s="14">
        <v>0.0</v>
      </c>
      <c r="K16" s="14">
        <v>0.0</v>
      </c>
      <c r="L16" s="14">
        <v>4.0</v>
      </c>
      <c r="M16" s="14">
        <v>4.0</v>
      </c>
      <c r="N16" s="14">
        <v>8.0</v>
      </c>
      <c r="O16" s="14">
        <v>2.0</v>
      </c>
      <c r="P16" s="14">
        <f t="shared" si="1"/>
        <v>18</v>
      </c>
      <c r="Q16" s="14">
        <v>1.0</v>
      </c>
      <c r="R16" s="14">
        <v>2.0</v>
      </c>
      <c r="S16" s="14">
        <v>0.0</v>
      </c>
      <c r="T16" s="14">
        <v>0.0</v>
      </c>
      <c r="U16" s="14">
        <f t="shared" si="2"/>
        <v>3</v>
      </c>
      <c r="V16" s="14">
        <v>0.0</v>
      </c>
      <c r="W16" s="14">
        <v>0.0</v>
      </c>
      <c r="X16" s="14">
        <v>0.0</v>
      </c>
      <c r="Y16" s="14">
        <f t="shared" si="3"/>
        <v>0</v>
      </c>
      <c r="Z16" s="14">
        <v>0.0</v>
      </c>
      <c r="AA16" s="14">
        <v>0.0</v>
      </c>
      <c r="AB16" s="11">
        <f t="shared" si="4"/>
        <v>21</v>
      </c>
    </row>
    <row r="17">
      <c r="A17" s="11">
        <v>12.0</v>
      </c>
      <c r="B17" s="13" t="s">
        <v>47</v>
      </c>
      <c r="C17" s="11">
        <v>1.2026891E7</v>
      </c>
      <c r="D17" s="13" t="s">
        <v>110</v>
      </c>
      <c r="E17" s="11" t="s">
        <v>111</v>
      </c>
      <c r="F17" s="11" t="s">
        <v>112</v>
      </c>
      <c r="G17" s="11" t="s">
        <v>113</v>
      </c>
      <c r="H17" s="11">
        <v>19.0</v>
      </c>
      <c r="I17" s="11">
        <v>14.0</v>
      </c>
      <c r="J17" s="14">
        <v>0.0</v>
      </c>
      <c r="K17" s="14">
        <v>7.0</v>
      </c>
      <c r="L17" s="14">
        <v>7.0</v>
      </c>
      <c r="M17" s="14">
        <v>7.0</v>
      </c>
      <c r="N17" s="14">
        <v>3.0</v>
      </c>
      <c r="O17" s="14">
        <v>4.0</v>
      </c>
      <c r="P17" s="14">
        <f t="shared" si="1"/>
        <v>28</v>
      </c>
      <c r="Q17" s="14">
        <v>4.0</v>
      </c>
      <c r="R17" s="14">
        <v>1.0</v>
      </c>
      <c r="S17" s="14">
        <v>0.0</v>
      </c>
      <c r="T17" s="14">
        <v>0.0</v>
      </c>
      <c r="U17" s="14">
        <f t="shared" si="2"/>
        <v>5</v>
      </c>
      <c r="V17" s="14">
        <v>0.0</v>
      </c>
      <c r="W17" s="14">
        <v>0.0</v>
      </c>
      <c r="X17" s="14">
        <v>0.0</v>
      </c>
      <c r="Y17" s="14">
        <f t="shared" si="3"/>
        <v>0</v>
      </c>
      <c r="Z17" s="14">
        <v>0.0</v>
      </c>
      <c r="AA17" s="14">
        <v>0.0</v>
      </c>
      <c r="AB17" s="11">
        <f t="shared" si="4"/>
        <v>33</v>
      </c>
    </row>
    <row r="18">
      <c r="A18" s="11">
        <v>70.0</v>
      </c>
      <c r="B18" s="13" t="s">
        <v>77</v>
      </c>
      <c r="C18" s="11">
        <v>1.2005118E7</v>
      </c>
      <c r="D18" s="13" t="s">
        <v>114</v>
      </c>
      <c r="E18" s="11" t="s">
        <v>79</v>
      </c>
      <c r="F18" s="11" t="s">
        <v>80</v>
      </c>
      <c r="G18" s="11" t="s">
        <v>115</v>
      </c>
      <c r="H18" s="11">
        <v>8.0</v>
      </c>
      <c r="I18" s="11">
        <v>17.0</v>
      </c>
      <c r="J18" s="14">
        <v>0.0</v>
      </c>
      <c r="K18" s="14">
        <v>0.0</v>
      </c>
      <c r="L18" s="14">
        <v>7.0</v>
      </c>
      <c r="M18" s="14">
        <v>5.0</v>
      </c>
      <c r="N18" s="14">
        <v>1.0</v>
      </c>
      <c r="O18" s="14">
        <v>0.0</v>
      </c>
      <c r="P18" s="14">
        <f t="shared" si="1"/>
        <v>13</v>
      </c>
      <c r="Q18" s="14">
        <v>2.0</v>
      </c>
      <c r="R18" s="14">
        <v>4.0</v>
      </c>
      <c r="S18" s="14">
        <v>5.0</v>
      </c>
      <c r="T18" s="14">
        <v>1.0</v>
      </c>
      <c r="U18" s="14">
        <f t="shared" si="2"/>
        <v>12</v>
      </c>
      <c r="V18" s="14">
        <v>0.0</v>
      </c>
      <c r="W18" s="14">
        <v>0.0</v>
      </c>
      <c r="X18" s="14">
        <v>0.0</v>
      </c>
      <c r="Y18" s="14">
        <f t="shared" si="3"/>
        <v>0</v>
      </c>
      <c r="Z18" s="14">
        <v>0.0</v>
      </c>
      <c r="AA18" s="14">
        <v>0.0</v>
      </c>
      <c r="AB18" s="11">
        <f t="shared" si="4"/>
        <v>25</v>
      </c>
    </row>
    <row r="19">
      <c r="A19" s="11">
        <v>10.0</v>
      </c>
      <c r="B19" s="13" t="s">
        <v>47</v>
      </c>
      <c r="C19" s="11">
        <v>1.2021733E7</v>
      </c>
      <c r="D19" s="13" t="s">
        <v>116</v>
      </c>
      <c r="E19" s="11" t="s">
        <v>60</v>
      </c>
      <c r="F19" s="11" t="s">
        <v>112</v>
      </c>
      <c r="G19" s="11" t="s">
        <v>117</v>
      </c>
      <c r="H19" s="11">
        <v>10.0</v>
      </c>
      <c r="I19" s="11">
        <v>13.0</v>
      </c>
      <c r="J19" s="14">
        <v>0.0</v>
      </c>
      <c r="K19" s="14">
        <v>1.0</v>
      </c>
      <c r="L19" s="14">
        <v>4.0</v>
      </c>
      <c r="M19" s="14">
        <v>1.0</v>
      </c>
      <c r="N19" s="14">
        <v>1.0</v>
      </c>
      <c r="O19" s="14">
        <v>4.0</v>
      </c>
      <c r="P19" s="14">
        <f t="shared" si="1"/>
        <v>11</v>
      </c>
      <c r="Q19" s="14">
        <v>2.0</v>
      </c>
      <c r="R19" s="14">
        <v>0.0</v>
      </c>
      <c r="S19" s="14">
        <v>3.0</v>
      </c>
      <c r="T19" s="14">
        <v>7.0</v>
      </c>
      <c r="U19" s="14">
        <f t="shared" si="2"/>
        <v>12</v>
      </c>
      <c r="V19" s="14">
        <v>0.0</v>
      </c>
      <c r="W19" s="14">
        <v>0.0</v>
      </c>
      <c r="X19" s="14">
        <v>0.0</v>
      </c>
      <c r="Y19" s="14">
        <f t="shared" si="3"/>
        <v>0</v>
      </c>
      <c r="Z19" s="14">
        <v>0.0</v>
      </c>
      <c r="AA19" s="14">
        <v>0.0</v>
      </c>
      <c r="AB19" s="11">
        <f t="shared" si="4"/>
        <v>23</v>
      </c>
    </row>
    <row r="20">
      <c r="A20" s="11">
        <v>124.0</v>
      </c>
      <c r="B20" s="13" t="s">
        <v>118</v>
      </c>
      <c r="C20" s="11">
        <v>1.2023337E7</v>
      </c>
      <c r="D20" s="13" t="s">
        <v>119</v>
      </c>
      <c r="E20" s="11" t="s">
        <v>79</v>
      </c>
      <c r="F20" s="11" t="s">
        <v>120</v>
      </c>
      <c r="G20" s="11" t="s">
        <v>121</v>
      </c>
      <c r="H20" s="11">
        <v>11.0</v>
      </c>
      <c r="I20" s="11">
        <v>15.0</v>
      </c>
      <c r="J20" s="14">
        <v>0.0</v>
      </c>
      <c r="K20" s="14">
        <v>2.0</v>
      </c>
      <c r="L20" s="14">
        <v>0.0</v>
      </c>
      <c r="M20" s="14">
        <v>2.0</v>
      </c>
      <c r="N20" s="14">
        <v>3.0</v>
      </c>
      <c r="O20" s="14">
        <v>1.0</v>
      </c>
      <c r="P20" s="14">
        <f t="shared" si="1"/>
        <v>8</v>
      </c>
      <c r="Q20" s="14">
        <v>1.0</v>
      </c>
      <c r="R20" s="14">
        <v>4.0</v>
      </c>
      <c r="S20" s="14">
        <v>2.0</v>
      </c>
      <c r="T20" s="14">
        <v>11.0</v>
      </c>
      <c r="U20" s="14">
        <f t="shared" si="2"/>
        <v>18</v>
      </c>
      <c r="V20" s="14">
        <v>0.0</v>
      </c>
      <c r="W20" s="14">
        <v>0.0</v>
      </c>
      <c r="X20" s="14">
        <v>0.0</v>
      </c>
      <c r="Y20" s="14">
        <f t="shared" si="3"/>
        <v>0</v>
      </c>
      <c r="Z20" s="14">
        <v>0.0</v>
      </c>
      <c r="AA20" s="14">
        <v>0.0</v>
      </c>
      <c r="AB20" s="11">
        <f t="shared" si="4"/>
        <v>26</v>
      </c>
    </row>
    <row r="21" ht="15.75" customHeight="1">
      <c r="A21" s="11">
        <v>68.0</v>
      </c>
      <c r="B21" s="13" t="s">
        <v>77</v>
      </c>
      <c r="C21" s="11">
        <v>1.20186E7</v>
      </c>
      <c r="D21" s="13" t="s">
        <v>122</v>
      </c>
      <c r="E21" s="11" t="s">
        <v>79</v>
      </c>
      <c r="F21" s="11" t="s">
        <v>123</v>
      </c>
      <c r="G21" s="11" t="s">
        <v>124</v>
      </c>
      <c r="H21" s="11">
        <v>12.0</v>
      </c>
      <c r="I21" s="11">
        <v>4.0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f t="shared" si="1"/>
        <v>0</v>
      </c>
      <c r="Q21" s="14">
        <v>3.0</v>
      </c>
      <c r="R21" s="14">
        <v>2.0</v>
      </c>
      <c r="S21" s="14">
        <v>0.0</v>
      </c>
      <c r="T21" s="14">
        <v>1.0</v>
      </c>
      <c r="U21" s="14">
        <f t="shared" si="2"/>
        <v>6</v>
      </c>
      <c r="V21" s="14">
        <v>0.0</v>
      </c>
      <c r="W21" s="14">
        <v>0.0</v>
      </c>
      <c r="X21" s="14">
        <v>0.0</v>
      </c>
      <c r="Y21" s="14">
        <f t="shared" si="3"/>
        <v>0</v>
      </c>
      <c r="Z21" s="14">
        <v>10.0</v>
      </c>
      <c r="AA21" s="14">
        <v>0.0</v>
      </c>
      <c r="AB21" s="11">
        <f t="shared" si="4"/>
        <v>16</v>
      </c>
    </row>
    <row r="22" ht="15.75" customHeight="1">
      <c r="A22" s="11" t="s">
        <v>36</v>
      </c>
      <c r="B22" s="13" t="s">
        <v>77</v>
      </c>
      <c r="C22" s="11">
        <v>1.20186E7</v>
      </c>
      <c r="D22" s="13" t="s">
        <v>125</v>
      </c>
      <c r="E22" s="11" t="s">
        <v>79</v>
      </c>
      <c r="F22" s="11" t="s">
        <v>123</v>
      </c>
      <c r="G22" s="11" t="s">
        <v>126</v>
      </c>
      <c r="H22" s="11">
        <v>11.0</v>
      </c>
      <c r="I22" s="11">
        <v>6.0</v>
      </c>
      <c r="J22" s="14">
        <v>0.0</v>
      </c>
      <c r="K22" s="14">
        <v>0.0</v>
      </c>
      <c r="L22" s="14">
        <v>0.0</v>
      </c>
      <c r="M22" s="14">
        <v>2.0</v>
      </c>
      <c r="N22" s="14">
        <v>1.0</v>
      </c>
      <c r="O22" s="14">
        <v>3.0</v>
      </c>
      <c r="P22" s="14">
        <f t="shared" si="1"/>
        <v>6</v>
      </c>
      <c r="Q22" s="14">
        <v>5.0</v>
      </c>
      <c r="R22" s="14">
        <v>0.0</v>
      </c>
      <c r="S22" s="14">
        <v>1.0</v>
      </c>
      <c r="T22" s="14">
        <v>5.0</v>
      </c>
      <c r="U22" s="14">
        <f t="shared" si="2"/>
        <v>11</v>
      </c>
      <c r="V22" s="14">
        <v>0.0</v>
      </c>
      <c r="W22" s="14">
        <v>0.0</v>
      </c>
      <c r="X22" s="14">
        <v>0.0</v>
      </c>
      <c r="Y22" s="14">
        <f t="shared" si="3"/>
        <v>0</v>
      </c>
      <c r="Z22" s="14">
        <v>0.0</v>
      </c>
      <c r="AA22" s="14">
        <v>0.0</v>
      </c>
      <c r="AB22" s="11">
        <f t="shared" si="4"/>
        <v>17</v>
      </c>
    </row>
    <row r="23" ht="15.75" customHeight="1">
      <c r="A23" s="11">
        <v>84.0</v>
      </c>
      <c r="B23" s="13" t="s">
        <v>64</v>
      </c>
      <c r="C23" s="11">
        <v>1.2029076E7</v>
      </c>
      <c r="D23" s="13" t="s">
        <v>127</v>
      </c>
      <c r="E23" s="11" t="s">
        <v>51</v>
      </c>
      <c r="F23" s="11" t="s">
        <v>93</v>
      </c>
      <c r="G23" s="11" t="s">
        <v>128</v>
      </c>
      <c r="H23" s="11">
        <v>35.0</v>
      </c>
      <c r="I23" s="11">
        <v>32.0</v>
      </c>
      <c r="J23" s="14">
        <v>0.0</v>
      </c>
      <c r="K23" s="14">
        <v>3.0</v>
      </c>
      <c r="L23" s="14">
        <v>13.0</v>
      </c>
      <c r="M23" s="14">
        <v>28.0</v>
      </c>
      <c r="N23" s="14">
        <v>14.0</v>
      </c>
      <c r="O23" s="14">
        <v>9.0</v>
      </c>
      <c r="P23" s="14">
        <f t="shared" si="1"/>
        <v>67</v>
      </c>
      <c r="Q23" s="14">
        <v>0.0</v>
      </c>
      <c r="R23" s="14">
        <v>0.0</v>
      </c>
      <c r="S23" s="14">
        <v>0.0</v>
      </c>
      <c r="T23" s="14">
        <v>0.0</v>
      </c>
      <c r="U23" s="14">
        <f t="shared" si="2"/>
        <v>0</v>
      </c>
      <c r="V23" s="14">
        <v>0.0</v>
      </c>
      <c r="W23" s="14">
        <v>0.0</v>
      </c>
      <c r="X23" s="14">
        <v>0.0</v>
      </c>
      <c r="Y23" s="14">
        <f t="shared" si="3"/>
        <v>0</v>
      </c>
      <c r="Z23" s="14">
        <v>0.0</v>
      </c>
      <c r="AA23" s="14">
        <v>0.0</v>
      </c>
      <c r="AB23" s="11">
        <f t="shared" si="4"/>
        <v>67</v>
      </c>
    </row>
    <row r="24" ht="15.75" customHeight="1">
      <c r="A24" s="11">
        <v>107.0</v>
      </c>
      <c r="B24" s="13" t="s">
        <v>129</v>
      </c>
      <c r="C24" s="11">
        <v>1.2023515E7</v>
      </c>
      <c r="D24" s="13" t="s">
        <v>130</v>
      </c>
      <c r="E24" s="11" t="s">
        <v>51</v>
      </c>
      <c r="F24" s="11" t="s">
        <v>93</v>
      </c>
      <c r="G24" s="11" t="s">
        <v>131</v>
      </c>
      <c r="H24" s="11">
        <v>8.0</v>
      </c>
      <c r="I24" s="11">
        <v>7.0</v>
      </c>
      <c r="J24" s="14">
        <v>0.0</v>
      </c>
      <c r="K24" s="14">
        <v>1.0</v>
      </c>
      <c r="L24" s="14">
        <v>0.0</v>
      </c>
      <c r="M24" s="14">
        <v>5.0</v>
      </c>
      <c r="N24" s="14">
        <v>4.0</v>
      </c>
      <c r="O24" s="14">
        <v>5.0</v>
      </c>
      <c r="P24" s="14">
        <f t="shared" si="1"/>
        <v>15</v>
      </c>
      <c r="Q24" s="14">
        <v>0.0</v>
      </c>
      <c r="R24" s="14">
        <v>0.0</v>
      </c>
      <c r="S24" s="14">
        <v>0.0</v>
      </c>
      <c r="T24" s="14">
        <v>0.0</v>
      </c>
      <c r="U24" s="14">
        <f t="shared" si="2"/>
        <v>0</v>
      </c>
      <c r="V24" s="14">
        <v>0.0</v>
      </c>
      <c r="W24" s="14">
        <v>0.0</v>
      </c>
      <c r="X24" s="14">
        <v>0.0</v>
      </c>
      <c r="Y24" s="14">
        <f t="shared" si="3"/>
        <v>0</v>
      </c>
      <c r="Z24" s="14">
        <v>0.0</v>
      </c>
      <c r="AA24" s="14">
        <v>0.0</v>
      </c>
      <c r="AB24" s="11">
        <f t="shared" si="4"/>
        <v>15</v>
      </c>
    </row>
    <row r="25" ht="15.75" customHeight="1">
      <c r="A25" s="11">
        <v>32.0</v>
      </c>
      <c r="B25" s="13" t="s">
        <v>49</v>
      </c>
      <c r="C25" s="11">
        <v>1.2033316E7</v>
      </c>
      <c r="D25" s="13" t="s">
        <v>132</v>
      </c>
      <c r="E25" s="11" t="s">
        <v>62</v>
      </c>
      <c r="F25" s="11" t="s">
        <v>106</v>
      </c>
      <c r="G25" s="11" t="s">
        <v>133</v>
      </c>
      <c r="H25" s="11">
        <v>11.0</v>
      </c>
      <c r="I25" s="11">
        <v>12.0</v>
      </c>
      <c r="J25" s="14">
        <v>0.0</v>
      </c>
      <c r="K25" s="14">
        <v>1.0</v>
      </c>
      <c r="L25" s="14">
        <v>1.0</v>
      </c>
      <c r="M25" s="14">
        <v>3.0</v>
      </c>
      <c r="N25" s="14">
        <v>8.0</v>
      </c>
      <c r="O25" s="14">
        <v>2.0</v>
      </c>
      <c r="P25" s="14">
        <f t="shared" si="1"/>
        <v>15</v>
      </c>
      <c r="Q25" s="14">
        <v>1.0</v>
      </c>
      <c r="R25" s="14">
        <v>5.0</v>
      </c>
      <c r="S25" s="14">
        <v>2.0</v>
      </c>
      <c r="T25" s="14">
        <v>0.0</v>
      </c>
      <c r="U25" s="14">
        <f t="shared" si="2"/>
        <v>8</v>
      </c>
      <c r="V25" s="14">
        <v>0.0</v>
      </c>
      <c r="W25" s="14">
        <v>0.0</v>
      </c>
      <c r="X25" s="14">
        <v>0.0</v>
      </c>
      <c r="Y25" s="14">
        <f t="shared" si="3"/>
        <v>0</v>
      </c>
      <c r="Z25" s="14">
        <v>0.0</v>
      </c>
      <c r="AA25" s="14">
        <v>0.0</v>
      </c>
      <c r="AB25" s="11">
        <f t="shared" si="4"/>
        <v>23</v>
      </c>
    </row>
    <row r="26" ht="15.75" customHeight="1">
      <c r="A26" s="11">
        <v>71.0</v>
      </c>
      <c r="B26" s="13" t="s">
        <v>77</v>
      </c>
      <c r="C26" s="11">
        <v>1.202071E7</v>
      </c>
      <c r="D26" s="13" t="s">
        <v>134</v>
      </c>
      <c r="E26" s="11" t="s">
        <v>79</v>
      </c>
      <c r="F26" s="11" t="s">
        <v>80</v>
      </c>
      <c r="G26" s="11" t="s">
        <v>135</v>
      </c>
      <c r="H26" s="11">
        <v>17.0</v>
      </c>
      <c r="I26" s="11">
        <v>22.0</v>
      </c>
      <c r="J26" s="14">
        <v>0.0</v>
      </c>
      <c r="K26" s="14">
        <v>0.0</v>
      </c>
      <c r="L26" s="14">
        <v>0.0</v>
      </c>
      <c r="M26" s="14">
        <v>0.0</v>
      </c>
      <c r="N26" s="14">
        <v>0.0</v>
      </c>
      <c r="O26" s="14">
        <v>0.0</v>
      </c>
      <c r="P26" s="14">
        <f t="shared" si="1"/>
        <v>0</v>
      </c>
      <c r="Q26" s="14">
        <v>5.0</v>
      </c>
      <c r="R26" s="14">
        <v>5.0</v>
      </c>
      <c r="S26" s="14">
        <v>4.0</v>
      </c>
      <c r="T26" s="14">
        <v>8.0</v>
      </c>
      <c r="U26" s="14">
        <f t="shared" si="2"/>
        <v>22</v>
      </c>
      <c r="V26" s="14">
        <v>0.0</v>
      </c>
      <c r="W26" s="14">
        <v>0.0</v>
      </c>
      <c r="X26" s="14">
        <v>0.0</v>
      </c>
      <c r="Y26" s="14">
        <f t="shared" si="3"/>
        <v>0</v>
      </c>
      <c r="Z26" s="14">
        <v>17.0</v>
      </c>
      <c r="AA26" s="14">
        <v>0.0</v>
      </c>
      <c r="AB26" s="11">
        <f t="shared" si="4"/>
        <v>39</v>
      </c>
    </row>
    <row r="27" ht="15.75" customHeight="1">
      <c r="A27" s="11">
        <v>33.0</v>
      </c>
      <c r="B27" s="13" t="s">
        <v>49</v>
      </c>
      <c r="C27" s="11">
        <v>1.2004081E7</v>
      </c>
      <c r="D27" s="13" t="s">
        <v>136</v>
      </c>
      <c r="E27" s="11" t="s">
        <v>62</v>
      </c>
      <c r="F27" s="11" t="s">
        <v>106</v>
      </c>
      <c r="G27" s="11" t="s">
        <v>137</v>
      </c>
      <c r="H27" s="11">
        <v>52.0</v>
      </c>
      <c r="I27" s="11">
        <v>49.0</v>
      </c>
      <c r="J27" s="14">
        <v>0.0</v>
      </c>
      <c r="K27" s="14">
        <v>6.0</v>
      </c>
      <c r="L27" s="14">
        <v>10.0</v>
      </c>
      <c r="M27" s="14">
        <v>9.0</v>
      </c>
      <c r="N27" s="14">
        <v>13.0</v>
      </c>
      <c r="O27" s="14">
        <v>10.0</v>
      </c>
      <c r="P27" s="14">
        <f t="shared" si="1"/>
        <v>48</v>
      </c>
      <c r="Q27" s="14">
        <v>19.0</v>
      </c>
      <c r="R27" s="14">
        <v>12.0</v>
      </c>
      <c r="S27" s="14">
        <v>15.0</v>
      </c>
      <c r="T27" s="14">
        <v>7.0</v>
      </c>
      <c r="U27" s="14">
        <f t="shared" si="2"/>
        <v>53</v>
      </c>
      <c r="V27" s="14">
        <v>0.0</v>
      </c>
      <c r="W27" s="14">
        <v>0.0</v>
      </c>
      <c r="X27" s="14">
        <v>0.0</v>
      </c>
      <c r="Y27" s="14">
        <f t="shared" si="3"/>
        <v>0</v>
      </c>
      <c r="Z27" s="14">
        <v>0.0</v>
      </c>
      <c r="AA27" s="14">
        <v>0.0</v>
      </c>
      <c r="AB27" s="11">
        <f t="shared" si="4"/>
        <v>101</v>
      </c>
    </row>
    <row r="28" ht="15.75" customHeight="1">
      <c r="A28" s="11">
        <v>116.0</v>
      </c>
      <c r="B28" s="13" t="s">
        <v>59</v>
      </c>
      <c r="C28" s="11">
        <v>1.2033413E7</v>
      </c>
      <c r="D28" s="13" t="s">
        <v>138</v>
      </c>
      <c r="E28" s="11" t="s">
        <v>60</v>
      </c>
      <c r="F28" s="11" t="s">
        <v>139</v>
      </c>
      <c r="G28" s="11" t="s">
        <v>140</v>
      </c>
      <c r="H28" s="11">
        <v>3.0</v>
      </c>
      <c r="I28" s="11">
        <v>4.0</v>
      </c>
      <c r="J28" s="14">
        <v>0.0</v>
      </c>
      <c r="K28" s="14">
        <v>3.0</v>
      </c>
      <c r="L28" s="14">
        <v>2.0</v>
      </c>
      <c r="M28" s="14">
        <v>2.0</v>
      </c>
      <c r="N28" s="14">
        <v>0.0</v>
      </c>
      <c r="O28" s="14">
        <v>0.0</v>
      </c>
      <c r="P28" s="14">
        <f t="shared" si="1"/>
        <v>7</v>
      </c>
      <c r="Q28" s="14">
        <v>0.0</v>
      </c>
      <c r="R28" s="14">
        <v>0.0</v>
      </c>
      <c r="S28" s="14">
        <v>0.0</v>
      </c>
      <c r="T28" s="14">
        <v>0.0</v>
      </c>
      <c r="U28" s="14">
        <f t="shared" si="2"/>
        <v>0</v>
      </c>
      <c r="V28" s="14">
        <v>0.0</v>
      </c>
      <c r="W28" s="14">
        <v>0.0</v>
      </c>
      <c r="X28" s="14">
        <v>0.0</v>
      </c>
      <c r="Y28" s="14">
        <f t="shared" si="3"/>
        <v>0</v>
      </c>
      <c r="Z28" s="14">
        <v>0.0</v>
      </c>
      <c r="AA28" s="14">
        <v>0.0</v>
      </c>
      <c r="AB28" s="11">
        <f t="shared" si="4"/>
        <v>7</v>
      </c>
    </row>
    <row r="29" ht="15.75" customHeight="1">
      <c r="A29" s="11">
        <v>58.0</v>
      </c>
      <c r="B29" s="13" t="s">
        <v>49</v>
      </c>
      <c r="C29" s="11">
        <v>1.2033146E7</v>
      </c>
      <c r="D29" s="13" t="s">
        <v>141</v>
      </c>
      <c r="E29" s="11" t="s">
        <v>87</v>
      </c>
      <c r="F29" s="11" t="s">
        <v>88</v>
      </c>
      <c r="G29" s="11" t="s">
        <v>142</v>
      </c>
      <c r="H29" s="11">
        <v>15.0</v>
      </c>
      <c r="I29" s="11">
        <v>12.0</v>
      </c>
      <c r="J29" s="14">
        <v>0.0</v>
      </c>
      <c r="K29" s="14">
        <v>1.0</v>
      </c>
      <c r="L29" s="14">
        <v>2.0</v>
      </c>
      <c r="M29" s="14">
        <v>1.0</v>
      </c>
      <c r="N29" s="14">
        <v>3.0</v>
      </c>
      <c r="O29" s="14">
        <v>0.0</v>
      </c>
      <c r="P29" s="14">
        <f t="shared" si="1"/>
        <v>7</v>
      </c>
      <c r="Q29" s="14">
        <v>4.0</v>
      </c>
      <c r="R29" s="14">
        <v>2.0</v>
      </c>
      <c r="S29" s="14">
        <v>6.0</v>
      </c>
      <c r="T29" s="14">
        <v>8.0</v>
      </c>
      <c r="U29" s="14">
        <f t="shared" si="2"/>
        <v>20</v>
      </c>
      <c r="V29" s="14">
        <v>0.0</v>
      </c>
      <c r="W29" s="14">
        <v>0.0</v>
      </c>
      <c r="X29" s="14">
        <v>0.0</v>
      </c>
      <c r="Y29" s="14">
        <f t="shared" si="3"/>
        <v>0</v>
      </c>
      <c r="Z29" s="14">
        <v>0.0</v>
      </c>
      <c r="AA29" s="14">
        <v>0.0</v>
      </c>
      <c r="AB29" s="11">
        <f t="shared" si="4"/>
        <v>27</v>
      </c>
    </row>
    <row r="30" ht="15.75" customHeight="1">
      <c r="A30" s="11" t="s">
        <v>36</v>
      </c>
      <c r="B30" s="13" t="s">
        <v>49</v>
      </c>
      <c r="C30" s="11">
        <v>1.2033146E7</v>
      </c>
      <c r="D30" s="13" t="s">
        <v>141</v>
      </c>
      <c r="E30" s="11" t="s">
        <v>87</v>
      </c>
      <c r="F30" s="11" t="s">
        <v>88</v>
      </c>
      <c r="G30" s="11" t="s">
        <v>143</v>
      </c>
      <c r="H30" s="11">
        <v>8.0</v>
      </c>
      <c r="I30" s="11">
        <v>5.0</v>
      </c>
      <c r="J30" s="14">
        <v>0.0</v>
      </c>
      <c r="K30" s="14">
        <v>2.0</v>
      </c>
      <c r="L30" s="14">
        <v>1.0</v>
      </c>
      <c r="M30" s="14">
        <v>1.0</v>
      </c>
      <c r="N30" s="14">
        <v>0.0</v>
      </c>
      <c r="O30" s="14">
        <v>3.0</v>
      </c>
      <c r="P30" s="14">
        <f t="shared" si="1"/>
        <v>7</v>
      </c>
      <c r="Q30" s="14">
        <v>3.0</v>
      </c>
      <c r="R30" s="14">
        <v>0.0</v>
      </c>
      <c r="S30" s="14">
        <v>2.0</v>
      </c>
      <c r="T30" s="14">
        <v>1.0</v>
      </c>
      <c r="U30" s="14">
        <f t="shared" si="2"/>
        <v>6</v>
      </c>
      <c r="V30" s="14">
        <v>0.0</v>
      </c>
      <c r="W30" s="14">
        <v>0.0</v>
      </c>
      <c r="X30" s="14">
        <v>0.0</v>
      </c>
      <c r="Y30" s="14">
        <f t="shared" si="3"/>
        <v>0</v>
      </c>
      <c r="Z30" s="14">
        <v>0.0</v>
      </c>
      <c r="AA30" s="14">
        <v>0.0</v>
      </c>
      <c r="AB30" s="11">
        <f t="shared" si="4"/>
        <v>13</v>
      </c>
    </row>
    <row r="31" ht="15.75" customHeight="1">
      <c r="A31" s="11">
        <v>40.0</v>
      </c>
      <c r="B31" s="13" t="s">
        <v>49</v>
      </c>
      <c r="C31" s="11">
        <v>1.2033766E7</v>
      </c>
      <c r="D31" s="13" t="s">
        <v>144</v>
      </c>
      <c r="E31" s="11" t="s">
        <v>51</v>
      </c>
      <c r="F31" s="11" t="s">
        <v>145</v>
      </c>
      <c r="G31" s="11" t="s">
        <v>146</v>
      </c>
      <c r="H31" s="11">
        <v>7.0</v>
      </c>
      <c r="I31" s="11">
        <v>5.0</v>
      </c>
      <c r="J31" s="14">
        <v>0.0</v>
      </c>
      <c r="K31" s="14">
        <v>0.0</v>
      </c>
      <c r="L31" s="14">
        <v>0.0</v>
      </c>
      <c r="M31" s="14">
        <v>0.0</v>
      </c>
      <c r="N31" s="14">
        <v>2.0</v>
      </c>
      <c r="O31" s="14">
        <v>4.0</v>
      </c>
      <c r="P31" s="14">
        <f t="shared" si="1"/>
        <v>6</v>
      </c>
      <c r="Q31" s="14">
        <v>4.0</v>
      </c>
      <c r="R31" s="14">
        <v>2.0</v>
      </c>
      <c r="S31" s="14">
        <v>0.0</v>
      </c>
      <c r="T31" s="14">
        <v>0.0</v>
      </c>
      <c r="U31" s="14">
        <f t="shared" si="2"/>
        <v>6</v>
      </c>
      <c r="V31" s="14">
        <v>0.0</v>
      </c>
      <c r="W31" s="14">
        <v>0.0</v>
      </c>
      <c r="X31" s="14">
        <v>0.0</v>
      </c>
      <c r="Y31" s="14">
        <f t="shared" si="3"/>
        <v>0</v>
      </c>
      <c r="Z31" s="14">
        <v>0.0</v>
      </c>
      <c r="AA31" s="14">
        <v>0.0</v>
      </c>
      <c r="AB31" s="11">
        <f t="shared" si="4"/>
        <v>12</v>
      </c>
    </row>
    <row r="32" ht="15.75" customHeight="1">
      <c r="A32" s="11">
        <v>34.0</v>
      </c>
      <c r="B32" s="13" t="s">
        <v>49</v>
      </c>
      <c r="C32" s="11">
        <v>1.203276E7</v>
      </c>
      <c r="D32" s="13" t="s">
        <v>147</v>
      </c>
      <c r="E32" s="11" t="s">
        <v>62</v>
      </c>
      <c r="F32" s="11" t="s">
        <v>106</v>
      </c>
      <c r="G32" s="11" t="s">
        <v>148</v>
      </c>
      <c r="H32" s="11">
        <v>22.0</v>
      </c>
      <c r="I32" s="11">
        <v>21.0</v>
      </c>
      <c r="J32" s="14">
        <v>0.0</v>
      </c>
      <c r="K32" s="14">
        <v>4.0</v>
      </c>
      <c r="L32" s="14">
        <v>5.0</v>
      </c>
      <c r="M32" s="14">
        <v>4.0</v>
      </c>
      <c r="N32" s="14">
        <v>0.0</v>
      </c>
      <c r="O32" s="14">
        <v>5.0</v>
      </c>
      <c r="P32" s="14">
        <f t="shared" si="1"/>
        <v>18</v>
      </c>
      <c r="Q32" s="14">
        <v>13.0</v>
      </c>
      <c r="R32" s="14">
        <v>4.0</v>
      </c>
      <c r="S32" s="14">
        <v>8.0</v>
      </c>
      <c r="T32" s="14">
        <v>0.0</v>
      </c>
      <c r="U32" s="14">
        <f t="shared" si="2"/>
        <v>25</v>
      </c>
      <c r="V32" s="14">
        <v>0.0</v>
      </c>
      <c r="W32" s="14">
        <v>0.0</v>
      </c>
      <c r="X32" s="14">
        <v>0.0</v>
      </c>
      <c r="Y32" s="14">
        <f t="shared" si="3"/>
        <v>0</v>
      </c>
      <c r="Z32" s="14">
        <v>0.0</v>
      </c>
      <c r="AA32" s="14">
        <v>0.0</v>
      </c>
      <c r="AB32" s="11">
        <f t="shared" si="4"/>
        <v>43</v>
      </c>
    </row>
    <row r="33" ht="15.75" customHeight="1">
      <c r="A33" s="11">
        <v>51.0</v>
      </c>
      <c r="B33" s="13" t="s">
        <v>49</v>
      </c>
      <c r="C33" s="11">
        <v>1.2031909E7</v>
      </c>
      <c r="D33" s="13" t="s">
        <v>149</v>
      </c>
      <c r="E33" s="11" t="s">
        <v>79</v>
      </c>
      <c r="F33" s="11" t="s">
        <v>88</v>
      </c>
      <c r="G33" s="11" t="s">
        <v>115</v>
      </c>
      <c r="H33" s="11">
        <v>36.0</v>
      </c>
      <c r="I33" s="11">
        <v>45.0</v>
      </c>
      <c r="J33" s="14">
        <v>0.0</v>
      </c>
      <c r="K33" s="14">
        <v>0.0</v>
      </c>
      <c r="L33" s="14">
        <v>0.0</v>
      </c>
      <c r="M33" s="14">
        <v>0.0</v>
      </c>
      <c r="N33" s="14">
        <v>0.0</v>
      </c>
      <c r="O33" s="14">
        <v>0.0</v>
      </c>
      <c r="P33" s="14">
        <f t="shared" si="1"/>
        <v>0</v>
      </c>
      <c r="Q33" s="14">
        <v>0.0</v>
      </c>
      <c r="R33" s="14">
        <v>0.0</v>
      </c>
      <c r="S33" s="14">
        <v>0.0</v>
      </c>
      <c r="T33" s="14">
        <v>0.0</v>
      </c>
      <c r="U33" s="14">
        <f t="shared" si="2"/>
        <v>0</v>
      </c>
      <c r="V33" s="14">
        <v>27.0</v>
      </c>
      <c r="W33" s="14">
        <v>36.0</v>
      </c>
      <c r="X33" s="14">
        <v>18.0</v>
      </c>
      <c r="Y33" s="14">
        <f t="shared" si="3"/>
        <v>81</v>
      </c>
      <c r="Z33" s="14">
        <v>0.0</v>
      </c>
      <c r="AA33" s="14">
        <v>0.0</v>
      </c>
      <c r="AB33" s="11">
        <f t="shared" si="4"/>
        <v>81</v>
      </c>
    </row>
    <row r="34" ht="15.75" customHeight="1">
      <c r="A34" s="11">
        <v>38.0</v>
      </c>
      <c r="B34" s="13" t="s">
        <v>49</v>
      </c>
      <c r="C34" s="11">
        <v>1.2032395E7</v>
      </c>
      <c r="D34" s="13" t="s">
        <v>150</v>
      </c>
      <c r="E34" s="11" t="s">
        <v>51</v>
      </c>
      <c r="F34" s="11" t="s">
        <v>145</v>
      </c>
      <c r="G34" s="11" t="s">
        <v>151</v>
      </c>
      <c r="H34" s="11">
        <v>18.0</v>
      </c>
      <c r="I34" s="11">
        <v>12.0</v>
      </c>
      <c r="J34" s="14">
        <v>0.0</v>
      </c>
      <c r="K34" s="14">
        <v>0.0</v>
      </c>
      <c r="L34" s="14">
        <v>2.0</v>
      </c>
      <c r="M34" s="14">
        <v>2.0</v>
      </c>
      <c r="N34" s="14">
        <v>3.0</v>
      </c>
      <c r="O34" s="14">
        <v>2.0</v>
      </c>
      <c r="P34" s="14">
        <f t="shared" si="1"/>
        <v>9</v>
      </c>
      <c r="Q34" s="14">
        <v>2.0</v>
      </c>
      <c r="R34" s="14">
        <v>10.0</v>
      </c>
      <c r="S34" s="14">
        <v>9.0</v>
      </c>
      <c r="T34" s="14">
        <v>0.0</v>
      </c>
      <c r="U34" s="14">
        <f t="shared" si="2"/>
        <v>21</v>
      </c>
      <c r="V34" s="14">
        <v>0.0</v>
      </c>
      <c r="W34" s="14">
        <v>0.0</v>
      </c>
      <c r="X34" s="14">
        <v>0.0</v>
      </c>
      <c r="Y34" s="14">
        <f t="shared" si="3"/>
        <v>0</v>
      </c>
      <c r="Z34" s="14">
        <v>0.0</v>
      </c>
      <c r="AA34" s="14">
        <v>0.0</v>
      </c>
      <c r="AB34" s="11">
        <f t="shared" si="4"/>
        <v>30</v>
      </c>
    </row>
    <row r="35" ht="15.75" customHeight="1">
      <c r="A35" s="11">
        <v>121.0</v>
      </c>
      <c r="B35" s="13" t="s">
        <v>118</v>
      </c>
      <c r="C35" s="11">
        <v>1.2030635E7</v>
      </c>
      <c r="D35" s="13" t="s">
        <v>152</v>
      </c>
      <c r="E35" s="11" t="s">
        <v>62</v>
      </c>
      <c r="F35" s="11" t="s">
        <v>153</v>
      </c>
      <c r="G35" s="11" t="s">
        <v>154</v>
      </c>
      <c r="H35" s="11">
        <v>7.0</v>
      </c>
      <c r="I35" s="11">
        <v>7.0</v>
      </c>
      <c r="J35" s="14">
        <v>0.0</v>
      </c>
      <c r="K35" s="14">
        <v>0.0</v>
      </c>
      <c r="L35" s="14">
        <v>0.0</v>
      </c>
      <c r="M35" s="14">
        <v>2.0</v>
      </c>
      <c r="N35" s="14">
        <v>1.0</v>
      </c>
      <c r="O35" s="14">
        <v>2.0</v>
      </c>
      <c r="P35" s="14">
        <f t="shared" si="1"/>
        <v>5</v>
      </c>
      <c r="Q35" s="14">
        <v>7.0</v>
      </c>
      <c r="R35" s="14">
        <v>2.0</v>
      </c>
      <c r="S35" s="14">
        <v>0.0</v>
      </c>
      <c r="T35" s="14">
        <v>0.0</v>
      </c>
      <c r="U35" s="14">
        <f t="shared" si="2"/>
        <v>9</v>
      </c>
      <c r="V35" s="14">
        <v>0.0</v>
      </c>
      <c r="W35" s="14">
        <v>0.0</v>
      </c>
      <c r="X35" s="14">
        <v>0.0</v>
      </c>
      <c r="Y35" s="14">
        <f t="shared" si="3"/>
        <v>0</v>
      </c>
      <c r="Z35" s="14">
        <v>0.0</v>
      </c>
      <c r="AA35" s="14">
        <v>0.0</v>
      </c>
      <c r="AB35" s="11">
        <f t="shared" si="4"/>
        <v>14</v>
      </c>
    </row>
    <row r="36" ht="15.75" customHeight="1">
      <c r="A36" s="11">
        <v>123.0</v>
      </c>
      <c r="B36" s="13" t="s">
        <v>118</v>
      </c>
      <c r="C36" s="11">
        <v>1.2005827E7</v>
      </c>
      <c r="D36" s="13" t="s">
        <v>155</v>
      </c>
      <c r="E36" s="11" t="s">
        <v>79</v>
      </c>
      <c r="F36" s="11" t="s">
        <v>156</v>
      </c>
      <c r="G36" s="11" t="s">
        <v>157</v>
      </c>
      <c r="H36" s="11">
        <v>153.0</v>
      </c>
      <c r="I36" s="11">
        <v>121.0</v>
      </c>
      <c r="J36" s="14">
        <v>0.0</v>
      </c>
      <c r="K36" s="14">
        <v>10.0</v>
      </c>
      <c r="L36" s="14">
        <v>45.0</v>
      </c>
      <c r="M36" s="14">
        <v>37.0</v>
      </c>
      <c r="N36" s="14">
        <v>27.0</v>
      </c>
      <c r="O36" s="14">
        <v>19.0</v>
      </c>
      <c r="P36" s="14">
        <f t="shared" si="1"/>
        <v>138</v>
      </c>
      <c r="Q36" s="14">
        <v>31.0</v>
      </c>
      <c r="R36" s="14">
        <v>22.0</v>
      </c>
      <c r="S36" s="14">
        <v>28.0</v>
      </c>
      <c r="T36" s="14">
        <v>18.0</v>
      </c>
      <c r="U36" s="14">
        <f t="shared" si="2"/>
        <v>99</v>
      </c>
      <c r="V36" s="14">
        <v>6.0</v>
      </c>
      <c r="W36" s="14">
        <v>24.0</v>
      </c>
      <c r="X36" s="14">
        <v>7.0</v>
      </c>
      <c r="Y36" s="14">
        <f t="shared" si="3"/>
        <v>37</v>
      </c>
      <c r="Z36" s="14">
        <v>0.0</v>
      </c>
      <c r="AA36" s="14">
        <v>0.0</v>
      </c>
      <c r="AB36" s="11">
        <f t="shared" si="4"/>
        <v>274</v>
      </c>
    </row>
    <row r="37" ht="15.75" customHeight="1">
      <c r="A37" s="11">
        <v>95.0</v>
      </c>
      <c r="B37" s="13" t="s">
        <v>84</v>
      </c>
      <c r="C37" s="11">
        <v>1.2025879E7</v>
      </c>
      <c r="D37" s="13" t="s">
        <v>158</v>
      </c>
      <c r="E37" s="11" t="s">
        <v>60</v>
      </c>
      <c r="F37" s="11" t="s">
        <v>159</v>
      </c>
      <c r="G37" s="11" t="s">
        <v>160</v>
      </c>
      <c r="H37" s="11">
        <v>25.0</v>
      </c>
      <c r="I37" s="11">
        <v>30.0</v>
      </c>
      <c r="J37" s="14">
        <v>9.0</v>
      </c>
      <c r="K37" s="14">
        <v>2.0</v>
      </c>
      <c r="L37" s="14">
        <v>5.0</v>
      </c>
      <c r="M37" s="14">
        <v>1.0</v>
      </c>
      <c r="N37" s="14">
        <v>4.0</v>
      </c>
      <c r="O37" s="14">
        <v>3.0</v>
      </c>
      <c r="P37" s="14">
        <f t="shared" si="1"/>
        <v>15</v>
      </c>
      <c r="Q37" s="14">
        <v>8.0</v>
      </c>
      <c r="R37" s="14">
        <v>2.0</v>
      </c>
      <c r="S37" s="14">
        <v>4.0</v>
      </c>
      <c r="T37" s="14">
        <v>5.0</v>
      </c>
      <c r="U37" s="14">
        <f t="shared" si="2"/>
        <v>19</v>
      </c>
      <c r="V37" s="14">
        <v>0.0</v>
      </c>
      <c r="W37" s="14">
        <v>0.0</v>
      </c>
      <c r="X37" s="14">
        <v>0.0</v>
      </c>
      <c r="Y37" s="14">
        <f t="shared" si="3"/>
        <v>0</v>
      </c>
      <c r="Z37" s="14">
        <v>12.0</v>
      </c>
      <c r="AA37" s="14">
        <v>0.0</v>
      </c>
      <c r="AB37" s="11">
        <f t="shared" si="4"/>
        <v>55</v>
      </c>
    </row>
    <row r="38" ht="15.75" customHeight="1">
      <c r="A38" s="11" t="s">
        <v>36</v>
      </c>
      <c r="B38" s="13" t="s">
        <v>84</v>
      </c>
      <c r="C38" s="11">
        <v>1.2025879E7</v>
      </c>
      <c r="D38" s="13" t="s">
        <v>161</v>
      </c>
      <c r="E38" s="11" t="s">
        <v>60</v>
      </c>
      <c r="F38" s="11" t="s">
        <v>159</v>
      </c>
      <c r="G38" s="11" t="s">
        <v>162</v>
      </c>
      <c r="H38" s="11">
        <v>2.0</v>
      </c>
      <c r="I38" s="11">
        <v>6.0</v>
      </c>
      <c r="J38" s="14">
        <v>3.0</v>
      </c>
      <c r="K38" s="14">
        <v>0.0</v>
      </c>
      <c r="L38" s="14">
        <v>1.0</v>
      </c>
      <c r="M38" s="14">
        <v>2.0</v>
      </c>
      <c r="N38" s="14">
        <v>1.0</v>
      </c>
      <c r="O38" s="14">
        <v>0.0</v>
      </c>
      <c r="P38" s="14">
        <f t="shared" si="1"/>
        <v>4</v>
      </c>
      <c r="Q38" s="14">
        <v>1.0</v>
      </c>
      <c r="R38" s="14">
        <v>0.0</v>
      </c>
      <c r="S38" s="14">
        <v>0.0</v>
      </c>
      <c r="T38" s="14">
        <v>0.0</v>
      </c>
      <c r="U38" s="14">
        <f t="shared" si="2"/>
        <v>1</v>
      </c>
      <c r="V38" s="14">
        <v>0.0</v>
      </c>
      <c r="W38" s="14">
        <v>0.0</v>
      </c>
      <c r="X38" s="14">
        <v>0.0</v>
      </c>
      <c r="Y38" s="14">
        <f t="shared" si="3"/>
        <v>0</v>
      </c>
      <c r="Z38" s="14">
        <v>0.0</v>
      </c>
      <c r="AA38" s="14">
        <v>0.0</v>
      </c>
      <c r="AB38" s="11">
        <f t="shared" si="4"/>
        <v>8</v>
      </c>
    </row>
    <row r="39" ht="15.75" customHeight="1">
      <c r="A39" s="11">
        <v>117.0</v>
      </c>
      <c r="B39" s="13" t="s">
        <v>59</v>
      </c>
      <c r="C39" s="11">
        <v>1.2026174E7</v>
      </c>
      <c r="D39" s="13" t="s">
        <v>163</v>
      </c>
      <c r="E39" s="11" t="s">
        <v>60</v>
      </c>
      <c r="F39" s="11" t="s">
        <v>139</v>
      </c>
      <c r="G39" s="11" t="s">
        <v>164</v>
      </c>
      <c r="H39" s="11">
        <v>1.0</v>
      </c>
      <c r="I39" s="11">
        <v>5.0</v>
      </c>
      <c r="J39" s="14">
        <v>0.0</v>
      </c>
      <c r="K39" s="14">
        <v>0.0</v>
      </c>
      <c r="L39" s="14">
        <v>1.0</v>
      </c>
      <c r="M39" s="14">
        <v>2.0</v>
      </c>
      <c r="N39" s="14">
        <v>1.0</v>
      </c>
      <c r="O39" s="14">
        <v>2.0</v>
      </c>
      <c r="P39" s="14">
        <f t="shared" si="1"/>
        <v>6</v>
      </c>
      <c r="Q39" s="14">
        <v>0.0</v>
      </c>
      <c r="R39" s="14">
        <v>0.0</v>
      </c>
      <c r="S39" s="14">
        <v>0.0</v>
      </c>
      <c r="T39" s="14">
        <v>0.0</v>
      </c>
      <c r="U39" s="14">
        <f t="shared" si="2"/>
        <v>0</v>
      </c>
      <c r="V39" s="14">
        <v>0.0</v>
      </c>
      <c r="W39" s="14">
        <v>0.0</v>
      </c>
      <c r="X39" s="14">
        <v>0.0</v>
      </c>
      <c r="Y39" s="14">
        <f t="shared" si="3"/>
        <v>0</v>
      </c>
      <c r="Z39" s="14">
        <v>0.0</v>
      </c>
      <c r="AA39" s="14">
        <v>0.0</v>
      </c>
      <c r="AB39" s="11">
        <f t="shared" si="4"/>
        <v>6</v>
      </c>
    </row>
    <row r="40" ht="15.75" customHeight="1">
      <c r="A40" s="11">
        <v>52.0</v>
      </c>
      <c r="B40" s="13" t="s">
        <v>49</v>
      </c>
      <c r="C40" s="11">
        <v>1.2034657E7</v>
      </c>
      <c r="D40" s="13" t="s">
        <v>165</v>
      </c>
      <c r="E40" s="11" t="s">
        <v>79</v>
      </c>
      <c r="F40" s="11" t="s">
        <v>88</v>
      </c>
      <c r="G40" s="11" t="s">
        <v>166</v>
      </c>
      <c r="H40" s="11">
        <v>18.0</v>
      </c>
      <c r="I40" s="11">
        <v>12.0</v>
      </c>
      <c r="J40" s="14">
        <v>0.0</v>
      </c>
      <c r="K40" s="14">
        <v>7.0</v>
      </c>
      <c r="L40" s="14">
        <v>1.0</v>
      </c>
      <c r="M40" s="14">
        <v>1.0</v>
      </c>
      <c r="N40" s="14">
        <v>5.0</v>
      </c>
      <c r="O40" s="14">
        <v>1.0</v>
      </c>
      <c r="P40" s="14">
        <f t="shared" si="1"/>
        <v>15</v>
      </c>
      <c r="Q40" s="14">
        <v>3.0</v>
      </c>
      <c r="R40" s="14">
        <v>8.0</v>
      </c>
      <c r="S40" s="14">
        <v>2.0</v>
      </c>
      <c r="T40" s="14">
        <v>2.0</v>
      </c>
      <c r="U40" s="14">
        <f t="shared" si="2"/>
        <v>15</v>
      </c>
      <c r="V40" s="14">
        <v>0.0</v>
      </c>
      <c r="W40" s="14">
        <v>0.0</v>
      </c>
      <c r="X40" s="14">
        <v>0.0</v>
      </c>
      <c r="Y40" s="14">
        <f t="shared" si="3"/>
        <v>0</v>
      </c>
      <c r="Z40" s="14">
        <v>0.0</v>
      </c>
      <c r="AA40" s="14">
        <v>0.0</v>
      </c>
      <c r="AB40" s="11">
        <f t="shared" si="4"/>
        <v>30</v>
      </c>
    </row>
    <row r="41" ht="15.75" customHeight="1">
      <c r="A41" s="11">
        <v>23.0</v>
      </c>
      <c r="B41" s="13" t="s">
        <v>90</v>
      </c>
      <c r="C41" s="11">
        <v>1.2023256E7</v>
      </c>
      <c r="D41" s="13" t="s">
        <v>167</v>
      </c>
      <c r="E41" s="11" t="s">
        <v>91</v>
      </c>
      <c r="F41" s="11" t="s">
        <v>168</v>
      </c>
      <c r="G41" s="11" t="s">
        <v>169</v>
      </c>
      <c r="H41" s="11">
        <v>4.0</v>
      </c>
      <c r="I41" s="11">
        <v>7.0</v>
      </c>
      <c r="J41" s="14">
        <v>0.0</v>
      </c>
      <c r="K41" s="14">
        <v>1.0</v>
      </c>
      <c r="L41" s="14">
        <v>7.0</v>
      </c>
      <c r="M41" s="14">
        <v>3.0</v>
      </c>
      <c r="N41" s="14">
        <v>0.0</v>
      </c>
      <c r="O41" s="14">
        <v>0.0</v>
      </c>
      <c r="P41" s="14">
        <f t="shared" si="1"/>
        <v>11</v>
      </c>
      <c r="Q41" s="14">
        <v>0.0</v>
      </c>
      <c r="R41" s="14">
        <v>0.0</v>
      </c>
      <c r="S41" s="14">
        <v>0.0</v>
      </c>
      <c r="T41" s="14">
        <v>0.0</v>
      </c>
      <c r="U41" s="14">
        <f t="shared" si="2"/>
        <v>0</v>
      </c>
      <c r="V41" s="14">
        <v>0.0</v>
      </c>
      <c r="W41" s="14">
        <v>0.0</v>
      </c>
      <c r="X41" s="14">
        <v>0.0</v>
      </c>
      <c r="Y41" s="14">
        <f t="shared" si="3"/>
        <v>0</v>
      </c>
      <c r="Z41" s="14">
        <v>0.0</v>
      </c>
      <c r="AA41" s="14">
        <v>0.0</v>
      </c>
      <c r="AB41" s="11">
        <f t="shared" si="4"/>
        <v>11</v>
      </c>
    </row>
    <row r="42" ht="15.75" customHeight="1">
      <c r="A42" s="11">
        <v>137.0</v>
      </c>
      <c r="B42" s="13" t="s">
        <v>118</v>
      </c>
      <c r="C42" s="11">
        <v>1.2022365E7</v>
      </c>
      <c r="D42" s="13" t="s">
        <v>170</v>
      </c>
      <c r="E42" s="11" t="s">
        <v>171</v>
      </c>
      <c r="F42" s="11" t="s">
        <v>172</v>
      </c>
      <c r="G42" s="11" t="s">
        <v>173</v>
      </c>
      <c r="H42" s="11">
        <v>6.0</v>
      </c>
      <c r="I42" s="11">
        <v>4.0</v>
      </c>
      <c r="J42" s="14">
        <v>0.0</v>
      </c>
      <c r="K42" s="14">
        <v>0.0</v>
      </c>
      <c r="L42" s="14">
        <v>0.0</v>
      </c>
      <c r="M42" s="14">
        <v>1.0</v>
      </c>
      <c r="N42" s="14">
        <v>1.0</v>
      </c>
      <c r="O42" s="14">
        <v>2.0</v>
      </c>
      <c r="P42" s="14">
        <f t="shared" si="1"/>
        <v>4</v>
      </c>
      <c r="Q42" s="14">
        <v>1.0</v>
      </c>
      <c r="R42" s="14">
        <v>1.0</v>
      </c>
      <c r="S42" s="14">
        <v>1.0</v>
      </c>
      <c r="T42" s="14">
        <v>3.0</v>
      </c>
      <c r="U42" s="14">
        <f t="shared" si="2"/>
        <v>6</v>
      </c>
      <c r="V42" s="14">
        <v>0.0</v>
      </c>
      <c r="W42" s="14">
        <v>0.0</v>
      </c>
      <c r="X42" s="14">
        <v>0.0</v>
      </c>
      <c r="Y42" s="14">
        <f t="shared" si="3"/>
        <v>0</v>
      </c>
      <c r="Z42" s="14">
        <v>0.0</v>
      </c>
      <c r="AA42" s="14">
        <v>0.0</v>
      </c>
      <c r="AB42" s="11">
        <f t="shared" si="4"/>
        <v>10</v>
      </c>
    </row>
    <row r="43" ht="15.75" customHeight="1">
      <c r="A43" s="11">
        <v>79.0</v>
      </c>
      <c r="B43" s="13" t="s">
        <v>35</v>
      </c>
      <c r="C43" s="11">
        <v>1.2002062E7</v>
      </c>
      <c r="D43" s="13" t="s">
        <v>174</v>
      </c>
      <c r="E43" s="11" t="s">
        <v>175</v>
      </c>
      <c r="F43" s="11" t="s">
        <v>175</v>
      </c>
      <c r="G43" s="11" t="s">
        <v>176</v>
      </c>
      <c r="H43" s="11">
        <v>3.0</v>
      </c>
      <c r="I43" s="11">
        <v>8.0</v>
      </c>
      <c r="J43" s="14">
        <v>3.0</v>
      </c>
      <c r="K43" s="14">
        <v>0.0</v>
      </c>
      <c r="L43" s="14">
        <v>3.0</v>
      </c>
      <c r="M43" s="14">
        <v>1.0</v>
      </c>
      <c r="N43" s="14">
        <v>2.0</v>
      </c>
      <c r="O43" s="14">
        <v>2.0</v>
      </c>
      <c r="P43" s="14">
        <f t="shared" si="1"/>
        <v>8</v>
      </c>
      <c r="Q43" s="14">
        <v>0.0</v>
      </c>
      <c r="R43" s="14">
        <v>0.0</v>
      </c>
      <c r="S43" s="14">
        <v>0.0</v>
      </c>
      <c r="T43" s="14">
        <v>0.0</v>
      </c>
      <c r="U43" s="14">
        <f t="shared" si="2"/>
        <v>0</v>
      </c>
      <c r="V43" s="14">
        <v>0.0</v>
      </c>
      <c r="W43" s="14">
        <v>0.0</v>
      </c>
      <c r="X43" s="14">
        <v>0.0</v>
      </c>
      <c r="Y43" s="14">
        <f t="shared" si="3"/>
        <v>0</v>
      </c>
      <c r="Z43" s="14">
        <v>0.0</v>
      </c>
      <c r="AA43" s="14">
        <v>0.0</v>
      </c>
      <c r="AB43" s="11">
        <f t="shared" si="4"/>
        <v>11</v>
      </c>
    </row>
    <row r="44" ht="15.75" customHeight="1">
      <c r="A44" s="11" t="s">
        <v>36</v>
      </c>
      <c r="B44" s="13" t="s">
        <v>35</v>
      </c>
      <c r="C44" s="11">
        <v>1.2002062E7</v>
      </c>
      <c r="D44" s="13" t="s">
        <v>177</v>
      </c>
      <c r="E44" s="11" t="s">
        <v>175</v>
      </c>
      <c r="F44" s="11" t="s">
        <v>175</v>
      </c>
      <c r="G44" s="11" t="s">
        <v>178</v>
      </c>
      <c r="H44" s="11">
        <v>11.0</v>
      </c>
      <c r="I44" s="11">
        <v>12.0</v>
      </c>
      <c r="J44" s="14">
        <v>2.0</v>
      </c>
      <c r="K44" s="14">
        <v>5.0</v>
      </c>
      <c r="L44" s="14">
        <v>2.0</v>
      </c>
      <c r="M44" s="14">
        <v>3.0</v>
      </c>
      <c r="N44" s="14">
        <v>2.0</v>
      </c>
      <c r="O44" s="14">
        <v>0.0</v>
      </c>
      <c r="P44" s="14">
        <f t="shared" si="1"/>
        <v>12</v>
      </c>
      <c r="Q44" s="14">
        <v>4.0</v>
      </c>
      <c r="R44" s="14">
        <v>1.0</v>
      </c>
      <c r="S44" s="14">
        <v>3.0</v>
      </c>
      <c r="T44" s="14">
        <v>1.0</v>
      </c>
      <c r="U44" s="14">
        <f t="shared" si="2"/>
        <v>9</v>
      </c>
      <c r="V44" s="14">
        <v>0.0</v>
      </c>
      <c r="W44" s="14">
        <v>0.0</v>
      </c>
      <c r="X44" s="14">
        <v>0.0</v>
      </c>
      <c r="Y44" s="14">
        <f t="shared" si="3"/>
        <v>0</v>
      </c>
      <c r="Z44" s="14">
        <v>0.0</v>
      </c>
      <c r="AA44" s="14">
        <v>0.0</v>
      </c>
      <c r="AB44" s="11">
        <f t="shared" si="4"/>
        <v>23</v>
      </c>
    </row>
    <row r="45" ht="15.75" customHeight="1">
      <c r="A45" s="11">
        <v>4.0</v>
      </c>
      <c r="B45" s="13" t="s">
        <v>47</v>
      </c>
      <c r="C45" s="11">
        <v>1.202927E7</v>
      </c>
      <c r="D45" s="13" t="s">
        <v>179</v>
      </c>
      <c r="E45" s="11" t="s">
        <v>111</v>
      </c>
      <c r="F45" s="11" t="s">
        <v>180</v>
      </c>
      <c r="G45" s="11" t="s">
        <v>181</v>
      </c>
      <c r="H45" s="11">
        <v>15.0</v>
      </c>
      <c r="I45" s="11">
        <v>11.0</v>
      </c>
      <c r="J45" s="14">
        <v>0.0</v>
      </c>
      <c r="K45" s="14">
        <v>3.0</v>
      </c>
      <c r="L45" s="14">
        <v>2.0</v>
      </c>
      <c r="M45" s="14">
        <v>2.0</v>
      </c>
      <c r="N45" s="14">
        <v>1.0</v>
      </c>
      <c r="O45" s="14">
        <v>3.0</v>
      </c>
      <c r="P45" s="14">
        <f t="shared" si="1"/>
        <v>11</v>
      </c>
      <c r="Q45" s="14">
        <v>5.0</v>
      </c>
      <c r="R45" s="14">
        <v>4.0</v>
      </c>
      <c r="S45" s="14">
        <v>1.0</v>
      </c>
      <c r="T45" s="14">
        <v>5.0</v>
      </c>
      <c r="U45" s="14">
        <f t="shared" si="2"/>
        <v>15</v>
      </c>
      <c r="V45" s="14">
        <v>0.0</v>
      </c>
      <c r="W45" s="14">
        <v>0.0</v>
      </c>
      <c r="X45" s="14">
        <v>0.0</v>
      </c>
      <c r="Y45" s="14">
        <f t="shared" si="3"/>
        <v>0</v>
      </c>
      <c r="Z45" s="14">
        <v>0.0</v>
      </c>
      <c r="AA45" s="14">
        <v>0.0</v>
      </c>
      <c r="AB45" s="11">
        <f t="shared" si="4"/>
        <v>26</v>
      </c>
    </row>
    <row r="46" ht="15.75" customHeight="1">
      <c r="A46" s="11">
        <v>13.0</v>
      </c>
      <c r="B46" s="13" t="s">
        <v>47</v>
      </c>
      <c r="C46" s="11">
        <v>1.2031941E7</v>
      </c>
      <c r="D46" s="13" t="s">
        <v>182</v>
      </c>
      <c r="E46" s="11" t="s">
        <v>111</v>
      </c>
      <c r="F46" s="11" t="s">
        <v>112</v>
      </c>
      <c r="G46" s="11" t="s">
        <v>183</v>
      </c>
      <c r="H46" s="11">
        <v>8.0</v>
      </c>
      <c r="I46" s="11">
        <v>6.0</v>
      </c>
      <c r="J46" s="14">
        <v>0.0</v>
      </c>
      <c r="K46" s="14">
        <v>2.0</v>
      </c>
      <c r="L46" s="14">
        <v>3.0</v>
      </c>
      <c r="M46" s="14">
        <v>2.0</v>
      </c>
      <c r="N46" s="14">
        <v>1.0</v>
      </c>
      <c r="O46" s="14">
        <v>6.0</v>
      </c>
      <c r="P46" s="14">
        <f t="shared" si="1"/>
        <v>14</v>
      </c>
      <c r="Q46" s="14">
        <v>0.0</v>
      </c>
      <c r="R46" s="14">
        <v>0.0</v>
      </c>
      <c r="S46" s="14">
        <v>0.0</v>
      </c>
      <c r="T46" s="14">
        <v>0.0</v>
      </c>
      <c r="U46" s="14">
        <f t="shared" si="2"/>
        <v>0</v>
      </c>
      <c r="V46" s="14">
        <v>0.0</v>
      </c>
      <c r="W46" s="14">
        <v>0.0</v>
      </c>
      <c r="X46" s="14">
        <v>0.0</v>
      </c>
      <c r="Y46" s="14">
        <f t="shared" si="3"/>
        <v>0</v>
      </c>
      <c r="Z46" s="14">
        <v>0.0</v>
      </c>
      <c r="AA46" s="14">
        <v>0.0</v>
      </c>
      <c r="AB46" s="11">
        <f t="shared" si="4"/>
        <v>14</v>
      </c>
    </row>
    <row r="47" ht="15.75" customHeight="1">
      <c r="A47" s="11">
        <v>5.0</v>
      </c>
      <c r="B47" s="13" t="s">
        <v>47</v>
      </c>
      <c r="C47" s="11">
        <v>1.203066E7</v>
      </c>
      <c r="D47" s="13" t="s">
        <v>184</v>
      </c>
      <c r="E47" s="11" t="s">
        <v>111</v>
      </c>
      <c r="F47" s="11" t="s">
        <v>180</v>
      </c>
      <c r="G47" s="11" t="s">
        <v>185</v>
      </c>
      <c r="H47" s="11">
        <v>5.0</v>
      </c>
      <c r="I47" s="11">
        <v>1.0</v>
      </c>
      <c r="J47" s="14">
        <v>0.0</v>
      </c>
      <c r="K47" s="14">
        <v>3.0</v>
      </c>
      <c r="L47" s="14">
        <v>2.0</v>
      </c>
      <c r="M47" s="14">
        <v>0.0</v>
      </c>
      <c r="N47" s="14">
        <v>1.0</v>
      </c>
      <c r="O47" s="14">
        <v>0.0</v>
      </c>
      <c r="P47" s="14">
        <f t="shared" si="1"/>
        <v>6</v>
      </c>
      <c r="Q47" s="14">
        <v>0.0</v>
      </c>
      <c r="R47" s="14">
        <v>0.0</v>
      </c>
      <c r="S47" s="14">
        <v>0.0</v>
      </c>
      <c r="T47" s="14">
        <v>0.0</v>
      </c>
      <c r="U47" s="14">
        <f t="shared" si="2"/>
        <v>0</v>
      </c>
      <c r="V47" s="14">
        <v>0.0</v>
      </c>
      <c r="W47" s="14">
        <v>0.0</v>
      </c>
      <c r="X47" s="14">
        <v>0.0</v>
      </c>
      <c r="Y47" s="14">
        <f t="shared" si="3"/>
        <v>0</v>
      </c>
      <c r="Z47" s="14">
        <v>0.0</v>
      </c>
      <c r="AA47" s="14">
        <v>0.0</v>
      </c>
      <c r="AB47" s="11">
        <f t="shared" si="4"/>
        <v>6</v>
      </c>
    </row>
    <row r="48" ht="15.75" customHeight="1">
      <c r="A48" s="11">
        <v>14.0</v>
      </c>
      <c r="B48" s="13" t="s">
        <v>47</v>
      </c>
      <c r="C48" s="11">
        <v>1.2032425E7</v>
      </c>
      <c r="D48" s="13" t="s">
        <v>186</v>
      </c>
      <c r="E48" s="11" t="s">
        <v>111</v>
      </c>
      <c r="F48" s="11" t="s">
        <v>112</v>
      </c>
      <c r="G48" s="11" t="s">
        <v>187</v>
      </c>
      <c r="H48" s="11">
        <v>3.0</v>
      </c>
      <c r="I48" s="11">
        <v>5.0</v>
      </c>
      <c r="J48" s="14">
        <v>0.0</v>
      </c>
      <c r="K48" s="14">
        <v>3.0</v>
      </c>
      <c r="L48" s="14">
        <v>0.0</v>
      </c>
      <c r="M48" s="14">
        <v>3.0</v>
      </c>
      <c r="N48" s="14">
        <v>0.0</v>
      </c>
      <c r="O48" s="14">
        <v>2.0</v>
      </c>
      <c r="P48" s="14">
        <f t="shared" si="1"/>
        <v>8</v>
      </c>
      <c r="Q48" s="14">
        <v>0.0</v>
      </c>
      <c r="R48" s="14">
        <v>0.0</v>
      </c>
      <c r="S48" s="14">
        <v>0.0</v>
      </c>
      <c r="T48" s="14">
        <v>0.0</v>
      </c>
      <c r="U48" s="14">
        <f t="shared" si="2"/>
        <v>0</v>
      </c>
      <c r="V48" s="14">
        <v>0.0</v>
      </c>
      <c r="W48" s="14">
        <v>0.0</v>
      </c>
      <c r="X48" s="14">
        <v>0.0</v>
      </c>
      <c r="Y48" s="14">
        <f t="shared" si="3"/>
        <v>0</v>
      </c>
      <c r="Z48" s="14">
        <v>0.0</v>
      </c>
      <c r="AA48" s="14">
        <v>0.0</v>
      </c>
      <c r="AB48" s="11">
        <f t="shared" si="4"/>
        <v>8</v>
      </c>
    </row>
    <row r="49" ht="15.75" customHeight="1">
      <c r="A49" s="11">
        <v>45.0</v>
      </c>
      <c r="B49" s="13" t="s">
        <v>49</v>
      </c>
      <c r="C49" s="11">
        <v>1.204502E7</v>
      </c>
      <c r="D49" s="13" t="s">
        <v>188</v>
      </c>
      <c r="E49" s="11" t="s">
        <v>79</v>
      </c>
      <c r="F49" s="11" t="s">
        <v>189</v>
      </c>
      <c r="G49" s="11" t="s">
        <v>185</v>
      </c>
      <c r="H49" s="11">
        <v>11.0</v>
      </c>
      <c r="I49" s="11">
        <v>13.0</v>
      </c>
      <c r="J49" s="14">
        <v>0.0</v>
      </c>
      <c r="K49" s="14">
        <v>3.0</v>
      </c>
      <c r="L49" s="14">
        <v>1.0</v>
      </c>
      <c r="M49" s="14">
        <v>4.0</v>
      </c>
      <c r="N49" s="14">
        <v>3.0</v>
      </c>
      <c r="O49" s="14">
        <v>0.0</v>
      </c>
      <c r="P49" s="14">
        <f t="shared" si="1"/>
        <v>11</v>
      </c>
      <c r="Q49" s="14">
        <v>4.0</v>
      </c>
      <c r="R49" s="14">
        <v>4.0</v>
      </c>
      <c r="S49" s="14">
        <v>1.0</v>
      </c>
      <c r="T49" s="14">
        <v>4.0</v>
      </c>
      <c r="U49" s="14">
        <f t="shared" si="2"/>
        <v>13</v>
      </c>
      <c r="V49" s="14">
        <v>0.0</v>
      </c>
      <c r="W49" s="14">
        <v>0.0</v>
      </c>
      <c r="X49" s="14">
        <v>0.0</v>
      </c>
      <c r="Y49" s="14">
        <f t="shared" si="3"/>
        <v>0</v>
      </c>
      <c r="Z49" s="14">
        <v>0.0</v>
      </c>
      <c r="AA49" s="14">
        <v>0.0</v>
      </c>
      <c r="AB49" s="11">
        <f t="shared" si="4"/>
        <v>24</v>
      </c>
    </row>
    <row r="50" ht="15.75" customHeight="1">
      <c r="A50" s="11">
        <v>53.0</v>
      </c>
      <c r="B50" s="13" t="s">
        <v>49</v>
      </c>
      <c r="C50" s="11">
        <v>1.2004596E7</v>
      </c>
      <c r="D50" s="13" t="s">
        <v>190</v>
      </c>
      <c r="E50" s="11" t="s">
        <v>79</v>
      </c>
      <c r="F50" s="11" t="s">
        <v>88</v>
      </c>
      <c r="G50" s="11" t="s">
        <v>191</v>
      </c>
      <c r="H50" s="11">
        <v>88.0</v>
      </c>
      <c r="I50" s="11">
        <v>96.0</v>
      </c>
      <c r="J50" s="14">
        <v>12.0</v>
      </c>
      <c r="K50" s="14">
        <v>12.0</v>
      </c>
      <c r="L50" s="14">
        <v>15.0</v>
      </c>
      <c r="M50" s="14">
        <v>17.0</v>
      </c>
      <c r="N50" s="14">
        <v>18.0</v>
      </c>
      <c r="O50" s="14">
        <v>24.0</v>
      </c>
      <c r="P50" s="14">
        <f t="shared" si="1"/>
        <v>86</v>
      </c>
      <c r="Q50" s="14">
        <v>27.0</v>
      </c>
      <c r="R50" s="14">
        <v>21.0</v>
      </c>
      <c r="S50" s="14">
        <v>19.0</v>
      </c>
      <c r="T50" s="14">
        <v>19.0</v>
      </c>
      <c r="U50" s="14">
        <f t="shared" si="2"/>
        <v>86</v>
      </c>
      <c r="V50" s="14">
        <v>0.0</v>
      </c>
      <c r="W50" s="14">
        <v>0.0</v>
      </c>
      <c r="X50" s="14">
        <v>0.0</v>
      </c>
      <c r="Y50" s="14">
        <f t="shared" si="3"/>
        <v>0</v>
      </c>
      <c r="Z50" s="14">
        <v>0.0</v>
      </c>
      <c r="AA50" s="14">
        <v>0.0</v>
      </c>
      <c r="AB50" s="11">
        <f t="shared" si="4"/>
        <v>184</v>
      </c>
    </row>
    <row r="51" ht="15.75" customHeight="1">
      <c r="A51" s="11" t="s">
        <v>36</v>
      </c>
      <c r="B51" s="13" t="s">
        <v>49</v>
      </c>
      <c r="C51" s="11">
        <v>1.2004596E7</v>
      </c>
      <c r="D51" s="13" t="s">
        <v>192</v>
      </c>
      <c r="E51" s="11" t="s">
        <v>79</v>
      </c>
      <c r="F51" s="11" t="s">
        <v>88</v>
      </c>
      <c r="G51" s="11" t="s">
        <v>193</v>
      </c>
      <c r="H51" s="11">
        <v>5.0</v>
      </c>
      <c r="I51" s="11">
        <v>6.0</v>
      </c>
      <c r="J51" s="14">
        <v>4.0</v>
      </c>
      <c r="K51" s="14">
        <v>1.0</v>
      </c>
      <c r="L51" s="14">
        <v>2.0</v>
      </c>
      <c r="M51" s="14">
        <v>4.0</v>
      </c>
      <c r="N51" s="14">
        <v>0.0</v>
      </c>
      <c r="O51" s="14">
        <v>0.0</v>
      </c>
      <c r="P51" s="14">
        <f t="shared" si="1"/>
        <v>7</v>
      </c>
      <c r="Q51" s="14">
        <v>0.0</v>
      </c>
      <c r="R51" s="14">
        <v>0.0</v>
      </c>
      <c r="S51" s="14">
        <v>0.0</v>
      </c>
      <c r="T51" s="14">
        <v>0.0</v>
      </c>
      <c r="U51" s="14">
        <f t="shared" si="2"/>
        <v>0</v>
      </c>
      <c r="V51" s="14">
        <v>0.0</v>
      </c>
      <c r="W51" s="14">
        <v>0.0</v>
      </c>
      <c r="X51" s="14">
        <v>0.0</v>
      </c>
      <c r="Y51" s="14">
        <f t="shared" si="3"/>
        <v>0</v>
      </c>
      <c r="Z51" s="14">
        <v>0.0</v>
      </c>
      <c r="AA51" s="14">
        <v>0.0</v>
      </c>
      <c r="AB51" s="11">
        <f t="shared" si="4"/>
        <v>11</v>
      </c>
    </row>
    <row r="52" ht="15.75" customHeight="1">
      <c r="A52" s="11" t="s">
        <v>36</v>
      </c>
      <c r="B52" s="13" t="s">
        <v>49</v>
      </c>
      <c r="C52" s="11">
        <v>1.2004596E7</v>
      </c>
      <c r="D52" s="13" t="s">
        <v>194</v>
      </c>
      <c r="E52" s="11" t="s">
        <v>79</v>
      </c>
      <c r="F52" s="11" t="s">
        <v>88</v>
      </c>
      <c r="G52" s="11" t="s">
        <v>195</v>
      </c>
      <c r="H52" s="11">
        <v>5.0</v>
      </c>
      <c r="I52" s="11">
        <v>0.0</v>
      </c>
      <c r="J52" s="14">
        <v>5.0</v>
      </c>
      <c r="K52" s="14">
        <v>0.0</v>
      </c>
      <c r="L52" s="14">
        <v>0.0</v>
      </c>
      <c r="M52" s="14">
        <v>0.0</v>
      </c>
      <c r="N52" s="14">
        <v>0.0</v>
      </c>
      <c r="O52" s="14">
        <v>0.0</v>
      </c>
      <c r="P52" s="14">
        <f t="shared" si="1"/>
        <v>0</v>
      </c>
      <c r="Q52" s="14">
        <v>0.0</v>
      </c>
      <c r="R52" s="14">
        <v>0.0</v>
      </c>
      <c r="S52" s="14">
        <v>0.0</v>
      </c>
      <c r="T52" s="14">
        <v>0.0</v>
      </c>
      <c r="U52" s="14">
        <f t="shared" si="2"/>
        <v>0</v>
      </c>
      <c r="V52" s="14">
        <v>0.0</v>
      </c>
      <c r="W52" s="14">
        <v>0.0</v>
      </c>
      <c r="X52" s="14">
        <v>0.0</v>
      </c>
      <c r="Y52" s="14">
        <f t="shared" si="3"/>
        <v>0</v>
      </c>
      <c r="Z52" s="14">
        <v>0.0</v>
      </c>
      <c r="AA52" s="14">
        <v>0.0</v>
      </c>
      <c r="AB52" s="11">
        <f t="shared" si="4"/>
        <v>5</v>
      </c>
    </row>
    <row r="53" ht="15.75" customHeight="1">
      <c r="A53" s="11">
        <v>47.0</v>
      </c>
      <c r="B53" s="13" t="s">
        <v>49</v>
      </c>
      <c r="C53" s="11">
        <v>1.2004685E7</v>
      </c>
      <c r="D53" s="13" t="s">
        <v>196</v>
      </c>
      <c r="E53" s="11" t="s">
        <v>79</v>
      </c>
      <c r="F53" s="11" t="s">
        <v>197</v>
      </c>
      <c r="G53" s="11" t="s">
        <v>198</v>
      </c>
      <c r="H53" s="11">
        <v>53.0</v>
      </c>
      <c r="I53" s="11">
        <v>48.0</v>
      </c>
      <c r="J53" s="14">
        <v>0.0</v>
      </c>
      <c r="K53" s="14">
        <v>6.0</v>
      </c>
      <c r="L53" s="14">
        <v>3.0</v>
      </c>
      <c r="M53" s="14">
        <v>9.0</v>
      </c>
      <c r="N53" s="14">
        <v>8.0</v>
      </c>
      <c r="O53" s="14">
        <v>4.0</v>
      </c>
      <c r="P53" s="14">
        <f t="shared" si="1"/>
        <v>30</v>
      </c>
      <c r="Q53" s="14">
        <v>10.0</v>
      </c>
      <c r="R53" s="14">
        <v>7.0</v>
      </c>
      <c r="S53" s="14">
        <v>4.0</v>
      </c>
      <c r="T53" s="14">
        <v>5.0</v>
      </c>
      <c r="U53" s="14">
        <f t="shared" si="2"/>
        <v>26</v>
      </c>
      <c r="V53" s="14">
        <v>20.0</v>
      </c>
      <c r="W53" s="14">
        <v>14.0</v>
      </c>
      <c r="X53" s="14">
        <v>11.0</v>
      </c>
      <c r="Y53" s="14">
        <f t="shared" si="3"/>
        <v>45</v>
      </c>
      <c r="Z53" s="14">
        <v>0.0</v>
      </c>
      <c r="AA53" s="14">
        <v>0.0</v>
      </c>
      <c r="AB53" s="11">
        <f t="shared" si="4"/>
        <v>101</v>
      </c>
    </row>
    <row r="54" ht="15.75" customHeight="1">
      <c r="A54" s="11">
        <v>48.0</v>
      </c>
      <c r="B54" s="13" t="s">
        <v>49</v>
      </c>
      <c r="C54" s="11">
        <v>1.203164E7</v>
      </c>
      <c r="D54" s="13" t="s">
        <v>199</v>
      </c>
      <c r="E54" s="11" t="s">
        <v>79</v>
      </c>
      <c r="F54" s="11" t="s">
        <v>197</v>
      </c>
      <c r="G54" s="11" t="s">
        <v>200</v>
      </c>
      <c r="H54" s="11">
        <v>32.0</v>
      </c>
      <c r="I54" s="11">
        <v>28.0</v>
      </c>
      <c r="J54" s="14">
        <v>0.0</v>
      </c>
      <c r="K54" s="14">
        <v>9.0</v>
      </c>
      <c r="L54" s="14">
        <v>5.0</v>
      </c>
      <c r="M54" s="14">
        <v>7.0</v>
      </c>
      <c r="N54" s="14">
        <v>9.0</v>
      </c>
      <c r="O54" s="14">
        <v>10.0</v>
      </c>
      <c r="P54" s="14">
        <f t="shared" si="1"/>
        <v>40</v>
      </c>
      <c r="Q54" s="14">
        <v>6.0</v>
      </c>
      <c r="R54" s="14">
        <v>7.0</v>
      </c>
      <c r="S54" s="14">
        <v>1.0</v>
      </c>
      <c r="T54" s="14">
        <v>6.0</v>
      </c>
      <c r="U54" s="14">
        <f t="shared" si="2"/>
        <v>20</v>
      </c>
      <c r="V54" s="14">
        <v>0.0</v>
      </c>
      <c r="W54" s="14">
        <v>0.0</v>
      </c>
      <c r="X54" s="14">
        <v>0.0</v>
      </c>
      <c r="Y54" s="14">
        <f t="shared" si="3"/>
        <v>0</v>
      </c>
      <c r="Z54" s="14">
        <v>0.0</v>
      </c>
      <c r="AA54" s="14">
        <v>0.0</v>
      </c>
      <c r="AB54" s="11">
        <f t="shared" si="4"/>
        <v>60</v>
      </c>
    </row>
    <row r="55" ht="15.75" customHeight="1">
      <c r="A55" s="11">
        <v>15.0</v>
      </c>
      <c r="B55" s="13" t="s">
        <v>47</v>
      </c>
      <c r="C55" s="11">
        <v>1.2034746E7</v>
      </c>
      <c r="D55" s="13" t="s">
        <v>201</v>
      </c>
      <c r="E55" s="11" t="s">
        <v>111</v>
      </c>
      <c r="F55" s="11" t="s">
        <v>112</v>
      </c>
      <c r="G55" s="11" t="s">
        <v>202</v>
      </c>
      <c r="H55" s="11">
        <v>16.0</v>
      </c>
      <c r="I55" s="11">
        <v>10.0</v>
      </c>
      <c r="J55" s="14">
        <v>0.0</v>
      </c>
      <c r="K55" s="14">
        <v>2.0</v>
      </c>
      <c r="L55" s="14">
        <v>3.0</v>
      </c>
      <c r="M55" s="14">
        <v>1.0</v>
      </c>
      <c r="N55" s="14">
        <v>4.0</v>
      </c>
      <c r="O55" s="14">
        <v>3.0</v>
      </c>
      <c r="P55" s="14">
        <f t="shared" si="1"/>
        <v>13</v>
      </c>
      <c r="Q55" s="14">
        <v>5.0</v>
      </c>
      <c r="R55" s="14">
        <v>2.0</v>
      </c>
      <c r="S55" s="14">
        <v>6.0</v>
      </c>
      <c r="T55" s="14">
        <v>0.0</v>
      </c>
      <c r="U55" s="14">
        <f t="shared" si="2"/>
        <v>13</v>
      </c>
      <c r="V55" s="14">
        <v>0.0</v>
      </c>
      <c r="W55" s="14">
        <v>0.0</v>
      </c>
      <c r="X55" s="14">
        <v>0.0</v>
      </c>
      <c r="Y55" s="14">
        <f t="shared" si="3"/>
        <v>0</v>
      </c>
      <c r="Z55" s="14">
        <v>0.0</v>
      </c>
      <c r="AA55" s="14">
        <v>0.0</v>
      </c>
      <c r="AB55" s="11">
        <f t="shared" si="4"/>
        <v>26</v>
      </c>
    </row>
    <row r="56" ht="15.75" customHeight="1">
      <c r="A56" s="11">
        <v>130.0</v>
      </c>
      <c r="B56" s="13" t="s">
        <v>118</v>
      </c>
      <c r="C56" s="11">
        <v>1.202331E7</v>
      </c>
      <c r="D56" s="13" t="s">
        <v>203</v>
      </c>
      <c r="E56" s="11" t="s">
        <v>79</v>
      </c>
      <c r="F56" s="11" t="s">
        <v>204</v>
      </c>
      <c r="G56" s="11" t="s">
        <v>205</v>
      </c>
      <c r="H56" s="11">
        <v>23.0</v>
      </c>
      <c r="I56" s="11">
        <v>33.0</v>
      </c>
      <c r="J56" s="14">
        <v>1.0</v>
      </c>
      <c r="K56" s="14">
        <v>1.0</v>
      </c>
      <c r="L56" s="14">
        <v>2.0</v>
      </c>
      <c r="M56" s="14">
        <v>5.0</v>
      </c>
      <c r="N56" s="14">
        <v>5.0</v>
      </c>
      <c r="O56" s="14">
        <v>1.0</v>
      </c>
      <c r="P56" s="14">
        <f t="shared" si="1"/>
        <v>14</v>
      </c>
      <c r="Q56" s="14">
        <v>3.0</v>
      </c>
      <c r="R56" s="14">
        <v>6.0</v>
      </c>
      <c r="S56" s="14">
        <v>0.0</v>
      </c>
      <c r="T56" s="14">
        <v>2.0</v>
      </c>
      <c r="U56" s="14">
        <f t="shared" si="2"/>
        <v>11</v>
      </c>
      <c r="V56" s="14">
        <v>30.0</v>
      </c>
      <c r="W56" s="14">
        <v>0.0</v>
      </c>
      <c r="X56" s="14">
        <v>0.0</v>
      </c>
      <c r="Y56" s="14">
        <f t="shared" si="3"/>
        <v>30</v>
      </c>
      <c r="Z56" s="14">
        <v>0.0</v>
      </c>
      <c r="AA56" s="14">
        <v>0.0</v>
      </c>
      <c r="AB56" s="11">
        <f t="shared" si="4"/>
        <v>56</v>
      </c>
    </row>
    <row r="57" ht="15.75" customHeight="1">
      <c r="A57" s="11">
        <v>41.0</v>
      </c>
      <c r="B57" s="13" t="s">
        <v>49</v>
      </c>
      <c r="C57" s="11">
        <v>1.2022373E7</v>
      </c>
      <c r="D57" s="13" t="s">
        <v>206</v>
      </c>
      <c r="E57" s="11" t="s">
        <v>51</v>
      </c>
      <c r="F57" s="11" t="s">
        <v>145</v>
      </c>
      <c r="G57" s="11" t="s">
        <v>207</v>
      </c>
      <c r="H57" s="11">
        <v>29.0</v>
      </c>
      <c r="I57" s="11">
        <v>30.0</v>
      </c>
      <c r="J57" s="14">
        <v>0.0</v>
      </c>
      <c r="K57" s="14">
        <v>3.0</v>
      </c>
      <c r="L57" s="14">
        <v>1.0</v>
      </c>
      <c r="M57" s="14">
        <v>12.0</v>
      </c>
      <c r="N57" s="14">
        <v>9.0</v>
      </c>
      <c r="O57" s="14">
        <v>12.0</v>
      </c>
      <c r="P57" s="14">
        <f t="shared" si="1"/>
        <v>37</v>
      </c>
      <c r="Q57" s="14">
        <v>6.0</v>
      </c>
      <c r="R57" s="14">
        <v>16.0</v>
      </c>
      <c r="S57" s="14">
        <v>0.0</v>
      </c>
      <c r="T57" s="14">
        <v>0.0</v>
      </c>
      <c r="U57" s="14">
        <f t="shared" si="2"/>
        <v>22</v>
      </c>
      <c r="V57" s="14">
        <v>0.0</v>
      </c>
      <c r="W57" s="14">
        <v>0.0</v>
      </c>
      <c r="X57" s="14">
        <v>0.0</v>
      </c>
      <c r="Y57" s="14">
        <f t="shared" si="3"/>
        <v>0</v>
      </c>
      <c r="Z57" s="14">
        <v>0.0</v>
      </c>
      <c r="AA57" s="14">
        <v>0.0</v>
      </c>
      <c r="AB57" s="11">
        <f t="shared" si="4"/>
        <v>59</v>
      </c>
    </row>
    <row r="58" ht="15.75" customHeight="1">
      <c r="A58" s="11">
        <v>101.0</v>
      </c>
      <c r="B58" s="13" t="s">
        <v>129</v>
      </c>
      <c r="C58" s="11">
        <v>1.2033308E7</v>
      </c>
      <c r="D58" s="13" t="s">
        <v>208</v>
      </c>
      <c r="E58" s="11" t="s">
        <v>79</v>
      </c>
      <c r="F58" s="11" t="s">
        <v>93</v>
      </c>
      <c r="G58" s="11" t="s">
        <v>209</v>
      </c>
      <c r="H58" s="11">
        <v>19.0</v>
      </c>
      <c r="I58" s="11">
        <v>13.0</v>
      </c>
      <c r="J58" s="14">
        <v>0.0</v>
      </c>
      <c r="K58" s="14">
        <v>0.0</v>
      </c>
      <c r="L58" s="14">
        <v>0.0</v>
      </c>
      <c r="M58" s="14">
        <v>0.0</v>
      </c>
      <c r="N58" s="14">
        <v>0.0</v>
      </c>
      <c r="O58" s="14">
        <v>0.0</v>
      </c>
      <c r="P58" s="14">
        <f t="shared" si="1"/>
        <v>0</v>
      </c>
      <c r="Q58" s="14">
        <v>0.0</v>
      </c>
      <c r="R58" s="14">
        <v>0.0</v>
      </c>
      <c r="S58" s="14">
        <v>0.0</v>
      </c>
      <c r="T58" s="14">
        <v>0.0</v>
      </c>
      <c r="U58" s="14">
        <f t="shared" si="2"/>
        <v>0</v>
      </c>
      <c r="V58" s="14">
        <v>22.0</v>
      </c>
      <c r="W58" s="14">
        <v>5.0</v>
      </c>
      <c r="X58" s="14">
        <v>5.0</v>
      </c>
      <c r="Y58" s="14">
        <f t="shared" si="3"/>
        <v>32</v>
      </c>
      <c r="Z58" s="14">
        <v>0.0</v>
      </c>
      <c r="AA58" s="14">
        <v>0.0</v>
      </c>
      <c r="AB58" s="11">
        <f t="shared" si="4"/>
        <v>32</v>
      </c>
    </row>
    <row r="59" ht="15.75" customHeight="1">
      <c r="A59" s="11">
        <v>138.0</v>
      </c>
      <c r="B59" s="13" t="s">
        <v>118</v>
      </c>
      <c r="C59" s="11">
        <v>1.200555E7</v>
      </c>
      <c r="D59" s="13" t="s">
        <v>210</v>
      </c>
      <c r="E59" s="11" t="s">
        <v>171</v>
      </c>
      <c r="F59" s="11" t="s">
        <v>172</v>
      </c>
      <c r="G59" s="11" t="s">
        <v>185</v>
      </c>
      <c r="H59" s="11">
        <v>50.0</v>
      </c>
      <c r="I59" s="11">
        <v>30.0</v>
      </c>
      <c r="J59" s="14">
        <v>0.0</v>
      </c>
      <c r="K59" s="14">
        <v>4.0</v>
      </c>
      <c r="L59" s="14">
        <v>11.0</v>
      </c>
      <c r="M59" s="14">
        <v>15.0</v>
      </c>
      <c r="N59" s="14">
        <v>3.0</v>
      </c>
      <c r="O59" s="14">
        <v>5.0</v>
      </c>
      <c r="P59" s="14">
        <f t="shared" si="1"/>
        <v>38</v>
      </c>
      <c r="Q59" s="14">
        <v>9.0</v>
      </c>
      <c r="R59" s="14">
        <v>2.0</v>
      </c>
      <c r="S59" s="14">
        <v>11.0</v>
      </c>
      <c r="T59" s="14">
        <v>5.0</v>
      </c>
      <c r="U59" s="14">
        <f t="shared" si="2"/>
        <v>27</v>
      </c>
      <c r="V59" s="14">
        <v>8.0</v>
      </c>
      <c r="W59" s="14">
        <v>4.0</v>
      </c>
      <c r="X59" s="14">
        <v>3.0</v>
      </c>
      <c r="Y59" s="14">
        <f t="shared" si="3"/>
        <v>15</v>
      </c>
      <c r="Z59" s="14">
        <v>0.0</v>
      </c>
      <c r="AA59" s="14">
        <v>0.0</v>
      </c>
      <c r="AB59" s="11">
        <f t="shared" si="4"/>
        <v>80</v>
      </c>
    </row>
    <row r="60" ht="15.75" customHeight="1">
      <c r="A60" s="11" t="s">
        <v>36</v>
      </c>
      <c r="B60" s="13" t="s">
        <v>118</v>
      </c>
      <c r="C60" s="11">
        <v>1.200555E7</v>
      </c>
      <c r="D60" s="13" t="s">
        <v>211</v>
      </c>
      <c r="E60" s="11" t="s">
        <v>171</v>
      </c>
      <c r="F60" s="11" t="s">
        <v>172</v>
      </c>
      <c r="G60" s="11" t="s">
        <v>212</v>
      </c>
      <c r="H60" s="11">
        <v>0.0</v>
      </c>
      <c r="I60" s="11">
        <v>0.0</v>
      </c>
      <c r="J60" s="14">
        <v>0.0</v>
      </c>
      <c r="K60" s="14">
        <v>0.0</v>
      </c>
      <c r="L60" s="14">
        <v>0.0</v>
      </c>
      <c r="M60" s="14">
        <v>0.0</v>
      </c>
      <c r="N60" s="14">
        <v>0.0</v>
      </c>
      <c r="O60" s="14">
        <v>0.0</v>
      </c>
      <c r="P60" s="14">
        <f t="shared" si="1"/>
        <v>0</v>
      </c>
      <c r="Q60" s="14">
        <v>0.0</v>
      </c>
      <c r="R60" s="14">
        <v>0.0</v>
      </c>
      <c r="S60" s="14">
        <v>0.0</v>
      </c>
      <c r="T60" s="14">
        <v>0.0</v>
      </c>
      <c r="U60" s="14">
        <f t="shared" si="2"/>
        <v>0</v>
      </c>
      <c r="V60" s="14">
        <v>0.0</v>
      </c>
      <c r="W60" s="14">
        <v>0.0</v>
      </c>
      <c r="X60" s="14">
        <v>0.0</v>
      </c>
      <c r="Y60" s="14">
        <f t="shared" si="3"/>
        <v>0</v>
      </c>
      <c r="Z60" s="14">
        <v>0.0</v>
      </c>
      <c r="AA60" s="14">
        <v>0.0</v>
      </c>
      <c r="AB60" s="11">
        <f t="shared" si="4"/>
        <v>0</v>
      </c>
    </row>
    <row r="61" ht="15.75" customHeight="1">
      <c r="A61" s="11">
        <v>99.0</v>
      </c>
      <c r="B61" s="13" t="s">
        <v>129</v>
      </c>
      <c r="C61" s="11">
        <v>1.2033286E7</v>
      </c>
      <c r="D61" s="13" t="s">
        <v>213</v>
      </c>
      <c r="E61" s="11" t="s">
        <v>79</v>
      </c>
      <c r="F61" s="11" t="s">
        <v>93</v>
      </c>
      <c r="G61" s="11" t="s">
        <v>214</v>
      </c>
      <c r="H61" s="11">
        <v>3.0</v>
      </c>
      <c r="I61" s="11">
        <v>4.0</v>
      </c>
      <c r="J61" s="14">
        <v>0.0</v>
      </c>
      <c r="K61" s="14">
        <v>0.0</v>
      </c>
      <c r="L61" s="14">
        <v>0.0</v>
      </c>
      <c r="M61" s="14">
        <v>0.0</v>
      </c>
      <c r="N61" s="14">
        <v>0.0</v>
      </c>
      <c r="O61" s="14">
        <v>0.0</v>
      </c>
      <c r="P61" s="14">
        <f t="shared" si="1"/>
        <v>0</v>
      </c>
      <c r="Q61" s="14">
        <v>0.0</v>
      </c>
      <c r="R61" s="14">
        <v>0.0</v>
      </c>
      <c r="S61" s="14">
        <v>0.0</v>
      </c>
      <c r="T61" s="14">
        <v>0.0</v>
      </c>
      <c r="U61" s="14">
        <f t="shared" si="2"/>
        <v>0</v>
      </c>
      <c r="V61" s="14">
        <v>7.0</v>
      </c>
      <c r="W61" s="14">
        <v>0.0</v>
      </c>
      <c r="X61" s="14">
        <v>0.0</v>
      </c>
      <c r="Y61" s="14">
        <f t="shared" si="3"/>
        <v>7</v>
      </c>
      <c r="Z61" s="14">
        <v>0.0</v>
      </c>
      <c r="AA61" s="14">
        <v>0.0</v>
      </c>
      <c r="AB61" s="11">
        <f t="shared" si="4"/>
        <v>7</v>
      </c>
    </row>
    <row r="62" ht="15.75" customHeight="1">
      <c r="A62" s="11">
        <v>82.0</v>
      </c>
      <c r="B62" s="13" t="s">
        <v>35</v>
      </c>
      <c r="C62" s="11">
        <v>1.2001821E7</v>
      </c>
      <c r="D62" s="13" t="s">
        <v>215</v>
      </c>
      <c r="E62" s="11" t="s">
        <v>216</v>
      </c>
      <c r="F62" s="11" t="s">
        <v>216</v>
      </c>
      <c r="G62" s="11" t="s">
        <v>217</v>
      </c>
      <c r="H62" s="11">
        <v>138.0</v>
      </c>
      <c r="I62" s="11">
        <v>117.0</v>
      </c>
      <c r="J62" s="14">
        <v>0.0</v>
      </c>
      <c r="K62" s="14">
        <v>17.0</v>
      </c>
      <c r="L62" s="14">
        <v>9.0</v>
      </c>
      <c r="M62" s="14">
        <v>19.0</v>
      </c>
      <c r="N62" s="14">
        <v>11.0</v>
      </c>
      <c r="O62" s="14">
        <v>14.0</v>
      </c>
      <c r="P62" s="14">
        <f t="shared" si="1"/>
        <v>70</v>
      </c>
      <c r="Q62" s="14">
        <v>16.0</v>
      </c>
      <c r="R62" s="14">
        <v>18.0</v>
      </c>
      <c r="S62" s="14">
        <v>15.0</v>
      </c>
      <c r="T62" s="14">
        <v>17.0</v>
      </c>
      <c r="U62" s="14">
        <f t="shared" si="2"/>
        <v>66</v>
      </c>
      <c r="V62" s="14">
        <v>14.0</v>
      </c>
      <c r="W62" s="14">
        <v>15.0</v>
      </c>
      <c r="X62" s="14">
        <v>22.0</v>
      </c>
      <c r="Y62" s="14">
        <f t="shared" si="3"/>
        <v>51</v>
      </c>
      <c r="Z62" s="14">
        <v>54.0</v>
      </c>
      <c r="AA62" s="14">
        <v>14.0</v>
      </c>
      <c r="AB62" s="11">
        <f t="shared" si="4"/>
        <v>255</v>
      </c>
    </row>
    <row r="63" ht="15.75" customHeight="1">
      <c r="A63" s="11">
        <v>72.0</v>
      </c>
      <c r="B63" s="13" t="s">
        <v>108</v>
      </c>
      <c r="C63" s="11">
        <v>1.2020044E7</v>
      </c>
      <c r="D63" s="13" t="s">
        <v>218</v>
      </c>
      <c r="E63" s="11" t="s">
        <v>79</v>
      </c>
      <c r="F63" s="11" t="s">
        <v>219</v>
      </c>
      <c r="G63" s="11" t="s">
        <v>220</v>
      </c>
      <c r="H63" s="11">
        <v>23.0</v>
      </c>
      <c r="I63" s="11">
        <v>26.0</v>
      </c>
      <c r="J63" s="14">
        <v>0.0</v>
      </c>
      <c r="K63" s="14">
        <v>9.0</v>
      </c>
      <c r="L63" s="14">
        <v>2.0</v>
      </c>
      <c r="M63" s="14">
        <v>3.0</v>
      </c>
      <c r="N63" s="14">
        <v>7.0</v>
      </c>
      <c r="O63" s="14">
        <v>5.0</v>
      </c>
      <c r="P63" s="14">
        <f t="shared" si="1"/>
        <v>26</v>
      </c>
      <c r="Q63" s="14">
        <v>2.0</v>
      </c>
      <c r="R63" s="14">
        <v>17.0</v>
      </c>
      <c r="S63" s="14">
        <v>3.0</v>
      </c>
      <c r="T63" s="14">
        <v>1.0</v>
      </c>
      <c r="U63" s="14">
        <f t="shared" si="2"/>
        <v>23</v>
      </c>
      <c r="V63" s="14">
        <v>0.0</v>
      </c>
      <c r="W63" s="14">
        <v>0.0</v>
      </c>
      <c r="X63" s="14">
        <v>0.0</v>
      </c>
      <c r="Y63" s="14">
        <f t="shared" si="3"/>
        <v>0</v>
      </c>
      <c r="Z63" s="14">
        <v>0.0</v>
      </c>
      <c r="AA63" s="14">
        <v>0.0</v>
      </c>
      <c r="AB63" s="11">
        <f t="shared" si="4"/>
        <v>49</v>
      </c>
    </row>
    <row r="64" ht="15.75" customHeight="1">
      <c r="A64" s="11" t="s">
        <v>36</v>
      </c>
      <c r="B64" s="13" t="s">
        <v>108</v>
      </c>
      <c r="C64" s="11">
        <v>1.2020044E7</v>
      </c>
      <c r="D64" s="13" t="s">
        <v>221</v>
      </c>
      <c r="E64" s="11" t="s">
        <v>79</v>
      </c>
      <c r="F64" s="11" t="s">
        <v>219</v>
      </c>
      <c r="G64" s="11" t="s">
        <v>222</v>
      </c>
      <c r="H64" s="11">
        <v>30.0</v>
      </c>
      <c r="I64" s="11">
        <v>10.0</v>
      </c>
      <c r="J64" s="14">
        <v>0.0</v>
      </c>
      <c r="K64" s="14">
        <v>7.0</v>
      </c>
      <c r="L64" s="14">
        <v>1.0</v>
      </c>
      <c r="M64" s="14">
        <v>0.0</v>
      </c>
      <c r="N64" s="14">
        <v>4.0</v>
      </c>
      <c r="O64" s="14">
        <v>1.0</v>
      </c>
      <c r="P64" s="14">
        <f t="shared" si="1"/>
        <v>13</v>
      </c>
      <c r="Q64" s="14">
        <v>5.0</v>
      </c>
      <c r="R64" s="14">
        <v>22.0</v>
      </c>
      <c r="S64" s="14">
        <v>0.0</v>
      </c>
      <c r="T64" s="14">
        <v>0.0</v>
      </c>
      <c r="U64" s="14">
        <f t="shared" si="2"/>
        <v>27</v>
      </c>
      <c r="V64" s="14">
        <v>0.0</v>
      </c>
      <c r="W64" s="14">
        <v>0.0</v>
      </c>
      <c r="X64" s="14">
        <v>0.0</v>
      </c>
      <c r="Y64" s="14">
        <f t="shared" si="3"/>
        <v>0</v>
      </c>
      <c r="Z64" s="14">
        <v>0.0</v>
      </c>
      <c r="AA64" s="14">
        <v>0.0</v>
      </c>
      <c r="AB64" s="11">
        <f t="shared" si="4"/>
        <v>40</v>
      </c>
    </row>
    <row r="65" ht="15.75" customHeight="1">
      <c r="A65" s="11">
        <v>96.0</v>
      </c>
      <c r="B65" s="13" t="s">
        <v>84</v>
      </c>
      <c r="C65" s="11">
        <v>1.2003727E7</v>
      </c>
      <c r="D65" s="13" t="s">
        <v>223</v>
      </c>
      <c r="E65" s="11" t="s">
        <v>60</v>
      </c>
      <c r="F65" s="11" t="s">
        <v>159</v>
      </c>
      <c r="G65" s="11" t="s">
        <v>224</v>
      </c>
      <c r="H65" s="11">
        <v>3.0</v>
      </c>
      <c r="I65" s="11">
        <v>3.0</v>
      </c>
      <c r="J65" s="14">
        <v>3.0</v>
      </c>
      <c r="K65" s="14">
        <v>1.0</v>
      </c>
      <c r="L65" s="14">
        <v>0.0</v>
      </c>
      <c r="M65" s="14">
        <v>1.0</v>
      </c>
      <c r="N65" s="14">
        <v>1.0</v>
      </c>
      <c r="O65" s="14">
        <v>0.0</v>
      </c>
      <c r="P65" s="14">
        <f t="shared" si="1"/>
        <v>3</v>
      </c>
      <c r="Q65" s="14">
        <v>0.0</v>
      </c>
      <c r="R65" s="14">
        <v>0.0</v>
      </c>
      <c r="S65" s="14">
        <v>0.0</v>
      </c>
      <c r="T65" s="14">
        <v>0.0</v>
      </c>
      <c r="U65" s="14">
        <f t="shared" si="2"/>
        <v>0</v>
      </c>
      <c r="V65" s="14">
        <v>0.0</v>
      </c>
      <c r="W65" s="14">
        <v>0.0</v>
      </c>
      <c r="X65" s="14">
        <v>0.0</v>
      </c>
      <c r="Y65" s="14">
        <f t="shared" si="3"/>
        <v>0</v>
      </c>
      <c r="Z65" s="14">
        <v>0.0</v>
      </c>
      <c r="AA65" s="14">
        <v>0.0</v>
      </c>
      <c r="AB65" s="11">
        <f t="shared" si="4"/>
        <v>6</v>
      </c>
    </row>
    <row r="66" ht="15.75" customHeight="1">
      <c r="A66" s="11">
        <v>39.0</v>
      </c>
      <c r="B66" s="13" t="s">
        <v>49</v>
      </c>
      <c r="C66" s="11">
        <v>1.2028657E7</v>
      </c>
      <c r="D66" s="13" t="s">
        <v>225</v>
      </c>
      <c r="E66" s="11" t="s">
        <v>51</v>
      </c>
      <c r="F66" s="11" t="s">
        <v>63</v>
      </c>
      <c r="G66" s="11" t="s">
        <v>60</v>
      </c>
      <c r="H66" s="11">
        <v>30.0</v>
      </c>
      <c r="I66" s="11">
        <v>14.0</v>
      </c>
      <c r="J66" s="14">
        <v>0.0</v>
      </c>
      <c r="K66" s="14">
        <v>1.0</v>
      </c>
      <c r="L66" s="14">
        <v>6.0</v>
      </c>
      <c r="M66" s="14">
        <v>0.0</v>
      </c>
      <c r="N66" s="14">
        <v>0.0</v>
      </c>
      <c r="O66" s="14">
        <v>0.0</v>
      </c>
      <c r="P66" s="14">
        <f t="shared" si="1"/>
        <v>7</v>
      </c>
      <c r="Q66" s="14">
        <v>13.0</v>
      </c>
      <c r="R66" s="14">
        <v>15.0</v>
      </c>
      <c r="S66" s="14">
        <v>8.0</v>
      </c>
      <c r="T66" s="14">
        <v>1.0</v>
      </c>
      <c r="U66" s="14">
        <f t="shared" si="2"/>
        <v>37</v>
      </c>
      <c r="V66" s="14">
        <v>0.0</v>
      </c>
      <c r="W66" s="14">
        <v>0.0</v>
      </c>
      <c r="X66" s="14">
        <v>0.0</v>
      </c>
      <c r="Y66" s="14">
        <f t="shared" si="3"/>
        <v>0</v>
      </c>
      <c r="Z66" s="14">
        <v>0.0</v>
      </c>
      <c r="AA66" s="14">
        <v>0.0</v>
      </c>
      <c r="AB66" s="11">
        <f t="shared" si="4"/>
        <v>44</v>
      </c>
    </row>
    <row r="67" ht="15.75" customHeight="1">
      <c r="A67" s="11" t="s">
        <v>36</v>
      </c>
      <c r="B67" s="13" t="s">
        <v>49</v>
      </c>
      <c r="C67" s="11">
        <v>1.2028657E7</v>
      </c>
      <c r="D67" s="13" t="s">
        <v>226</v>
      </c>
      <c r="E67" s="11" t="s">
        <v>51</v>
      </c>
      <c r="F67" s="11" t="s">
        <v>63</v>
      </c>
      <c r="G67" s="11" t="s">
        <v>227</v>
      </c>
      <c r="H67" s="11">
        <v>13.0</v>
      </c>
      <c r="I67" s="11">
        <v>17.0</v>
      </c>
      <c r="J67" s="14">
        <v>0.0</v>
      </c>
      <c r="K67" s="14">
        <v>1.0</v>
      </c>
      <c r="L67" s="14">
        <v>2.0</v>
      </c>
      <c r="M67" s="14">
        <v>9.0</v>
      </c>
      <c r="N67" s="14">
        <v>11.0</v>
      </c>
      <c r="O67" s="14">
        <v>7.0</v>
      </c>
      <c r="P67" s="14">
        <f t="shared" si="1"/>
        <v>30</v>
      </c>
      <c r="Q67" s="14">
        <v>0.0</v>
      </c>
      <c r="R67" s="14">
        <v>0.0</v>
      </c>
      <c r="S67" s="14">
        <v>0.0</v>
      </c>
      <c r="T67" s="14">
        <v>0.0</v>
      </c>
      <c r="U67" s="14">
        <f t="shared" si="2"/>
        <v>0</v>
      </c>
      <c r="V67" s="14">
        <v>0.0</v>
      </c>
      <c r="W67" s="14">
        <v>0.0</v>
      </c>
      <c r="X67" s="14">
        <v>0.0</v>
      </c>
      <c r="Y67" s="14">
        <f t="shared" si="3"/>
        <v>0</v>
      </c>
      <c r="Z67" s="14">
        <v>0.0</v>
      </c>
      <c r="AA67" s="14">
        <v>0.0</v>
      </c>
      <c r="AB67" s="11">
        <f t="shared" si="4"/>
        <v>30</v>
      </c>
    </row>
    <row r="68" ht="15.75" customHeight="1">
      <c r="A68" s="11">
        <v>97.0</v>
      </c>
      <c r="B68" s="13" t="s">
        <v>84</v>
      </c>
      <c r="C68" s="11">
        <v>1.2040223E7</v>
      </c>
      <c r="D68" s="13" t="s">
        <v>228</v>
      </c>
      <c r="E68" s="11" t="s">
        <v>229</v>
      </c>
      <c r="F68" s="11" t="s">
        <v>159</v>
      </c>
      <c r="G68" s="11" t="s">
        <v>230</v>
      </c>
      <c r="H68" s="11">
        <v>5.0</v>
      </c>
      <c r="I68" s="11">
        <v>6.0</v>
      </c>
      <c r="J68" s="14">
        <v>4.0</v>
      </c>
      <c r="K68" s="14">
        <v>1.0</v>
      </c>
      <c r="L68" s="14">
        <v>1.0</v>
      </c>
      <c r="M68" s="14">
        <v>0.0</v>
      </c>
      <c r="N68" s="14">
        <v>0.0</v>
      </c>
      <c r="O68" s="14">
        <v>2.0</v>
      </c>
      <c r="P68" s="14">
        <f t="shared" si="1"/>
        <v>4</v>
      </c>
      <c r="Q68" s="14">
        <v>0.0</v>
      </c>
      <c r="R68" s="14">
        <v>2.0</v>
      </c>
      <c r="S68" s="14">
        <v>1.0</v>
      </c>
      <c r="T68" s="14">
        <v>0.0</v>
      </c>
      <c r="U68" s="14">
        <f t="shared" si="2"/>
        <v>3</v>
      </c>
      <c r="V68" s="14">
        <v>0.0</v>
      </c>
      <c r="W68" s="14">
        <v>0.0</v>
      </c>
      <c r="X68" s="14">
        <v>0.0</v>
      </c>
      <c r="Y68" s="14">
        <f t="shared" si="3"/>
        <v>0</v>
      </c>
      <c r="Z68" s="14">
        <v>0.0</v>
      </c>
      <c r="AA68" s="14">
        <v>0.0</v>
      </c>
      <c r="AB68" s="11">
        <f t="shared" si="4"/>
        <v>11</v>
      </c>
    </row>
    <row r="69" ht="15.75" customHeight="1">
      <c r="A69" s="11">
        <v>75.0</v>
      </c>
      <c r="B69" s="13" t="s">
        <v>108</v>
      </c>
      <c r="C69" s="11">
        <v>1.200264E7</v>
      </c>
      <c r="D69" s="13" t="s">
        <v>228</v>
      </c>
      <c r="E69" s="11" t="s">
        <v>229</v>
      </c>
      <c r="F69" s="11" t="s">
        <v>231</v>
      </c>
      <c r="G69" s="11" t="s">
        <v>202</v>
      </c>
      <c r="H69" s="11">
        <v>15.0</v>
      </c>
      <c r="I69" s="11">
        <v>18.0</v>
      </c>
      <c r="J69" s="14">
        <v>0.0</v>
      </c>
      <c r="K69" s="14">
        <v>0.0</v>
      </c>
      <c r="L69" s="14">
        <v>0.0</v>
      </c>
      <c r="M69" s="14">
        <v>6.0</v>
      </c>
      <c r="N69" s="14">
        <v>6.0</v>
      </c>
      <c r="O69" s="14">
        <v>2.0</v>
      </c>
      <c r="P69" s="14">
        <f t="shared" si="1"/>
        <v>14</v>
      </c>
      <c r="Q69" s="14">
        <v>19.0</v>
      </c>
      <c r="R69" s="14">
        <v>0.0</v>
      </c>
      <c r="S69" s="14">
        <v>0.0</v>
      </c>
      <c r="T69" s="14">
        <v>0.0</v>
      </c>
      <c r="U69" s="14">
        <f t="shared" si="2"/>
        <v>19</v>
      </c>
      <c r="V69" s="14">
        <v>0.0</v>
      </c>
      <c r="W69" s="14">
        <v>0.0</v>
      </c>
      <c r="X69" s="14">
        <v>0.0</v>
      </c>
      <c r="Y69" s="14">
        <f t="shared" si="3"/>
        <v>0</v>
      </c>
      <c r="Z69" s="14">
        <v>0.0</v>
      </c>
      <c r="AA69" s="14">
        <v>0.0</v>
      </c>
      <c r="AB69" s="11">
        <f t="shared" si="4"/>
        <v>33</v>
      </c>
    </row>
    <row r="70" ht="15.75" customHeight="1">
      <c r="A70" s="11">
        <v>90.0</v>
      </c>
      <c r="B70" s="13" t="s">
        <v>95</v>
      </c>
      <c r="C70" s="11">
        <v>1.2062227E7</v>
      </c>
      <c r="D70" s="13" t="s">
        <v>232</v>
      </c>
      <c r="E70" s="11" t="s">
        <v>97</v>
      </c>
      <c r="F70" s="11" t="s">
        <v>98</v>
      </c>
      <c r="G70" s="11" t="s">
        <v>233</v>
      </c>
      <c r="H70" s="11">
        <v>25.0</v>
      </c>
      <c r="I70" s="11">
        <v>29.0</v>
      </c>
      <c r="J70" s="14">
        <v>10.0</v>
      </c>
      <c r="K70" s="14">
        <v>4.0</v>
      </c>
      <c r="L70" s="14">
        <v>2.0</v>
      </c>
      <c r="M70" s="14">
        <v>2.0</v>
      </c>
      <c r="N70" s="14">
        <v>5.0</v>
      </c>
      <c r="O70" s="14">
        <v>3.0</v>
      </c>
      <c r="P70" s="14">
        <f t="shared" si="1"/>
        <v>16</v>
      </c>
      <c r="Q70" s="14">
        <v>4.0</v>
      </c>
      <c r="R70" s="14">
        <v>4.0</v>
      </c>
      <c r="S70" s="14">
        <v>4.0</v>
      </c>
      <c r="T70" s="14">
        <v>0.0</v>
      </c>
      <c r="U70" s="14">
        <f t="shared" si="2"/>
        <v>12</v>
      </c>
      <c r="V70" s="14">
        <v>0.0</v>
      </c>
      <c r="W70" s="14">
        <v>16.0</v>
      </c>
      <c r="X70" s="14">
        <v>0.0</v>
      </c>
      <c r="Y70" s="14">
        <f t="shared" si="3"/>
        <v>16</v>
      </c>
      <c r="Z70" s="14">
        <v>0.0</v>
      </c>
      <c r="AA70" s="14">
        <v>0.0</v>
      </c>
      <c r="AB70" s="11">
        <f t="shared" si="4"/>
        <v>54</v>
      </c>
    </row>
    <row r="71" ht="15.75" customHeight="1">
      <c r="A71" s="11">
        <v>77.0</v>
      </c>
      <c r="B71" s="13" t="s">
        <v>35</v>
      </c>
      <c r="C71" s="11">
        <v>1.2002097E7</v>
      </c>
      <c r="D71" s="13" t="s">
        <v>234</v>
      </c>
      <c r="E71" s="11" t="s">
        <v>39</v>
      </c>
      <c r="F71" s="11" t="s">
        <v>40</v>
      </c>
      <c r="G71" s="11" t="s">
        <v>235</v>
      </c>
      <c r="H71" s="11">
        <v>18.0</v>
      </c>
      <c r="I71" s="11">
        <v>14.0</v>
      </c>
      <c r="J71" s="14">
        <v>2.0</v>
      </c>
      <c r="K71" s="14">
        <v>0.0</v>
      </c>
      <c r="L71" s="14">
        <v>2.0</v>
      </c>
      <c r="M71" s="14">
        <v>1.0</v>
      </c>
      <c r="N71" s="14">
        <v>1.0</v>
      </c>
      <c r="O71" s="14">
        <v>4.0</v>
      </c>
      <c r="P71" s="14">
        <f t="shared" si="1"/>
        <v>8</v>
      </c>
      <c r="Q71" s="14">
        <v>4.0</v>
      </c>
      <c r="R71" s="14">
        <v>2.0</v>
      </c>
      <c r="S71" s="14">
        <v>3.0</v>
      </c>
      <c r="T71" s="14">
        <v>2.0</v>
      </c>
      <c r="U71" s="14">
        <f t="shared" si="2"/>
        <v>11</v>
      </c>
      <c r="V71" s="14">
        <v>2.0</v>
      </c>
      <c r="W71" s="14">
        <v>5.0</v>
      </c>
      <c r="X71" s="14">
        <v>4.0</v>
      </c>
      <c r="Y71" s="14">
        <f t="shared" si="3"/>
        <v>11</v>
      </c>
      <c r="Z71" s="14">
        <v>0.0</v>
      </c>
      <c r="AA71" s="14">
        <v>0.0</v>
      </c>
      <c r="AB71" s="11">
        <f t="shared" si="4"/>
        <v>32</v>
      </c>
    </row>
    <row r="72" ht="15.75" customHeight="1">
      <c r="A72" s="11">
        <v>139.0</v>
      </c>
      <c r="B72" s="13" t="s">
        <v>118</v>
      </c>
      <c r="C72" s="11">
        <v>1.2027707E7</v>
      </c>
      <c r="D72" s="13" t="s">
        <v>236</v>
      </c>
      <c r="E72" s="11" t="s">
        <v>171</v>
      </c>
      <c r="F72" s="11" t="s">
        <v>172</v>
      </c>
      <c r="G72" s="11" t="s">
        <v>237</v>
      </c>
      <c r="H72" s="11">
        <v>7.0</v>
      </c>
      <c r="I72" s="11">
        <v>7.0</v>
      </c>
      <c r="J72" s="14">
        <v>0.0</v>
      </c>
      <c r="K72" s="14">
        <v>0.0</v>
      </c>
      <c r="L72" s="14">
        <v>3.0</v>
      </c>
      <c r="M72" s="14">
        <v>4.0</v>
      </c>
      <c r="N72" s="14">
        <v>0.0</v>
      </c>
      <c r="O72" s="14">
        <v>0.0</v>
      </c>
      <c r="P72" s="14">
        <f t="shared" si="1"/>
        <v>7</v>
      </c>
      <c r="Q72" s="14">
        <v>2.0</v>
      </c>
      <c r="R72" s="14">
        <v>0.0</v>
      </c>
      <c r="S72" s="14">
        <v>2.0</v>
      </c>
      <c r="T72" s="14">
        <v>3.0</v>
      </c>
      <c r="U72" s="14">
        <f t="shared" si="2"/>
        <v>7</v>
      </c>
      <c r="V72" s="14">
        <v>0.0</v>
      </c>
      <c r="W72" s="14">
        <v>0.0</v>
      </c>
      <c r="X72" s="14">
        <v>0.0</v>
      </c>
      <c r="Y72" s="14">
        <f t="shared" si="3"/>
        <v>0</v>
      </c>
      <c r="Z72" s="14">
        <v>0.0</v>
      </c>
      <c r="AA72" s="14">
        <v>0.0</v>
      </c>
      <c r="AB72" s="11">
        <f t="shared" si="4"/>
        <v>14</v>
      </c>
    </row>
    <row r="73" ht="15.75" customHeight="1">
      <c r="A73" s="11">
        <v>24.0</v>
      </c>
      <c r="B73" s="13" t="s">
        <v>90</v>
      </c>
      <c r="C73" s="11">
        <v>1.2023248E7</v>
      </c>
      <c r="D73" s="13" t="s">
        <v>238</v>
      </c>
      <c r="E73" s="11" t="s">
        <v>91</v>
      </c>
      <c r="F73" s="11" t="s">
        <v>168</v>
      </c>
      <c r="G73" s="11" t="s">
        <v>239</v>
      </c>
      <c r="H73" s="11">
        <v>6.0</v>
      </c>
      <c r="I73" s="11">
        <v>2.0</v>
      </c>
      <c r="J73" s="14">
        <v>0.0</v>
      </c>
      <c r="K73" s="14">
        <v>2.0</v>
      </c>
      <c r="L73" s="14">
        <v>3.0</v>
      </c>
      <c r="M73" s="14">
        <v>3.0</v>
      </c>
      <c r="N73" s="14">
        <v>0.0</v>
      </c>
      <c r="O73" s="14">
        <v>0.0</v>
      </c>
      <c r="P73" s="14">
        <f t="shared" si="1"/>
        <v>8</v>
      </c>
      <c r="Q73" s="14">
        <v>0.0</v>
      </c>
      <c r="R73" s="14">
        <v>0.0</v>
      </c>
      <c r="S73" s="14">
        <v>0.0</v>
      </c>
      <c r="T73" s="14">
        <v>0.0</v>
      </c>
      <c r="U73" s="14">
        <f t="shared" si="2"/>
        <v>0</v>
      </c>
      <c r="V73" s="14">
        <v>0.0</v>
      </c>
      <c r="W73" s="14">
        <v>0.0</v>
      </c>
      <c r="X73" s="14">
        <v>0.0</v>
      </c>
      <c r="Y73" s="14">
        <f t="shared" si="3"/>
        <v>0</v>
      </c>
      <c r="Z73" s="14">
        <v>0.0</v>
      </c>
      <c r="AA73" s="14">
        <v>0.0</v>
      </c>
      <c r="AB73" s="11">
        <f t="shared" si="4"/>
        <v>8</v>
      </c>
    </row>
    <row r="74" ht="15.75" customHeight="1">
      <c r="A74" s="11">
        <v>80.0</v>
      </c>
      <c r="B74" s="13" t="s">
        <v>35</v>
      </c>
      <c r="C74" s="11">
        <v>1.2030589E7</v>
      </c>
      <c r="D74" s="13" t="s">
        <v>240</v>
      </c>
      <c r="E74" s="11" t="s">
        <v>175</v>
      </c>
      <c r="F74" s="11" t="s">
        <v>175</v>
      </c>
      <c r="G74" s="11" t="s">
        <v>241</v>
      </c>
      <c r="H74" s="11">
        <v>3.0</v>
      </c>
      <c r="I74" s="11">
        <v>3.0</v>
      </c>
      <c r="J74" s="14">
        <v>0.0</v>
      </c>
      <c r="K74" s="14">
        <v>1.0</v>
      </c>
      <c r="L74" s="14">
        <v>1.0</v>
      </c>
      <c r="M74" s="14">
        <v>0.0</v>
      </c>
      <c r="N74" s="14">
        <v>1.0</v>
      </c>
      <c r="O74" s="14">
        <v>3.0</v>
      </c>
      <c r="P74" s="14">
        <f t="shared" si="1"/>
        <v>6</v>
      </c>
      <c r="Q74" s="14">
        <v>0.0</v>
      </c>
      <c r="R74" s="14">
        <v>0.0</v>
      </c>
      <c r="S74" s="14">
        <v>0.0</v>
      </c>
      <c r="T74" s="14">
        <v>0.0</v>
      </c>
      <c r="U74" s="14">
        <f t="shared" si="2"/>
        <v>0</v>
      </c>
      <c r="V74" s="14">
        <v>0.0</v>
      </c>
      <c r="W74" s="14">
        <v>0.0</v>
      </c>
      <c r="X74" s="14">
        <v>0.0</v>
      </c>
      <c r="Y74" s="14">
        <f t="shared" si="3"/>
        <v>0</v>
      </c>
      <c r="Z74" s="14">
        <v>0.0</v>
      </c>
      <c r="AA74" s="14">
        <v>0.0</v>
      </c>
      <c r="AB74" s="11">
        <f t="shared" si="4"/>
        <v>6</v>
      </c>
    </row>
    <row r="75" ht="15.75" customHeight="1">
      <c r="A75" s="11">
        <v>16.0</v>
      </c>
      <c r="B75" s="13" t="s">
        <v>47</v>
      </c>
      <c r="C75" s="11">
        <v>1.202175E7</v>
      </c>
      <c r="D75" s="13" t="s">
        <v>242</v>
      </c>
      <c r="E75" s="11" t="s">
        <v>111</v>
      </c>
      <c r="F75" s="11" t="s">
        <v>112</v>
      </c>
      <c r="G75" s="11" t="s">
        <v>243</v>
      </c>
      <c r="H75" s="11">
        <v>21.0</v>
      </c>
      <c r="I75" s="11">
        <v>19.0</v>
      </c>
      <c r="J75" s="14">
        <v>10.0</v>
      </c>
      <c r="K75" s="14">
        <v>1.0</v>
      </c>
      <c r="L75" s="14">
        <v>4.0</v>
      </c>
      <c r="M75" s="14">
        <v>5.0</v>
      </c>
      <c r="N75" s="14">
        <v>5.0</v>
      </c>
      <c r="O75" s="14">
        <v>5.0</v>
      </c>
      <c r="P75" s="14">
        <f t="shared" si="1"/>
        <v>20</v>
      </c>
      <c r="Q75" s="14">
        <v>0.0</v>
      </c>
      <c r="R75" s="14">
        <v>7.0</v>
      </c>
      <c r="S75" s="14">
        <v>0.0</v>
      </c>
      <c r="T75" s="14">
        <v>3.0</v>
      </c>
      <c r="U75" s="14">
        <f t="shared" si="2"/>
        <v>10</v>
      </c>
      <c r="V75" s="14">
        <v>0.0</v>
      </c>
      <c r="W75" s="14">
        <v>0.0</v>
      </c>
      <c r="X75" s="14">
        <v>0.0</v>
      </c>
      <c r="Y75" s="14">
        <f t="shared" si="3"/>
        <v>0</v>
      </c>
      <c r="Z75" s="14">
        <v>0.0</v>
      </c>
      <c r="AA75" s="14">
        <v>0.0</v>
      </c>
      <c r="AB75" s="11">
        <f t="shared" si="4"/>
        <v>40</v>
      </c>
    </row>
    <row r="76" ht="15.75" customHeight="1">
      <c r="A76" s="11">
        <f>A75+1</f>
        <v>17</v>
      </c>
      <c r="B76" s="13" t="s">
        <v>118</v>
      </c>
      <c r="C76" s="11">
        <v>1.2025569E7</v>
      </c>
      <c r="D76" s="13" t="s">
        <v>244</v>
      </c>
      <c r="E76" s="11" t="s">
        <v>91</v>
      </c>
      <c r="F76" s="11" t="s">
        <v>172</v>
      </c>
      <c r="G76" s="11" t="s">
        <v>178</v>
      </c>
      <c r="H76" s="11">
        <v>5.0</v>
      </c>
      <c r="I76" s="11">
        <v>6.0</v>
      </c>
      <c r="J76" s="14">
        <v>0.0</v>
      </c>
      <c r="K76" s="14">
        <v>1.0</v>
      </c>
      <c r="L76" s="14">
        <v>3.0</v>
      </c>
      <c r="M76" s="14">
        <v>1.0</v>
      </c>
      <c r="N76" s="14">
        <v>1.0</v>
      </c>
      <c r="O76" s="14">
        <v>3.0</v>
      </c>
      <c r="P76" s="14">
        <f t="shared" si="1"/>
        <v>9</v>
      </c>
      <c r="Q76" s="14">
        <v>1.0</v>
      </c>
      <c r="R76" s="14">
        <v>1.0</v>
      </c>
      <c r="S76" s="14">
        <v>0.0</v>
      </c>
      <c r="T76" s="14">
        <v>0.0</v>
      </c>
      <c r="U76" s="14">
        <f t="shared" si="2"/>
        <v>2</v>
      </c>
      <c r="V76" s="14">
        <v>0.0</v>
      </c>
      <c r="W76" s="14">
        <v>0.0</v>
      </c>
      <c r="X76" s="14">
        <v>0.0</v>
      </c>
      <c r="Y76" s="14">
        <f t="shared" si="3"/>
        <v>0</v>
      </c>
      <c r="Z76" s="14">
        <v>0.0</v>
      </c>
      <c r="AA76" s="14">
        <v>0.0</v>
      </c>
      <c r="AB76" s="11">
        <f t="shared" si="4"/>
        <v>11</v>
      </c>
    </row>
    <row r="77" ht="15.75" customHeight="1">
      <c r="A77" s="11" t="s">
        <v>36</v>
      </c>
      <c r="B77" s="13" t="s">
        <v>118</v>
      </c>
      <c r="C77" s="11">
        <v>1.2025569E7</v>
      </c>
      <c r="D77" s="13" t="s">
        <v>245</v>
      </c>
      <c r="E77" s="11" t="s">
        <v>91</v>
      </c>
      <c r="F77" s="11" t="s">
        <v>172</v>
      </c>
      <c r="G77" s="11" t="s">
        <v>246</v>
      </c>
      <c r="H77" s="11">
        <v>7.0</v>
      </c>
      <c r="I77" s="11">
        <v>10.0</v>
      </c>
      <c r="J77" s="14">
        <v>0.0</v>
      </c>
      <c r="K77" s="14">
        <v>1.0</v>
      </c>
      <c r="L77" s="14">
        <v>10.0</v>
      </c>
      <c r="M77" s="14">
        <v>0.0</v>
      </c>
      <c r="N77" s="14">
        <v>0.0</v>
      </c>
      <c r="O77" s="14">
        <v>0.0</v>
      </c>
      <c r="P77" s="14">
        <f t="shared" si="1"/>
        <v>11</v>
      </c>
      <c r="Q77" s="14">
        <v>1.0</v>
      </c>
      <c r="R77" s="14">
        <v>3.0</v>
      </c>
      <c r="S77" s="14">
        <v>2.0</v>
      </c>
      <c r="T77" s="14">
        <v>0.0</v>
      </c>
      <c r="U77" s="14">
        <f t="shared" si="2"/>
        <v>6</v>
      </c>
      <c r="V77" s="14">
        <v>0.0</v>
      </c>
      <c r="W77" s="14">
        <v>0.0</v>
      </c>
      <c r="X77" s="14">
        <v>0.0</v>
      </c>
      <c r="Y77" s="14">
        <f t="shared" si="3"/>
        <v>0</v>
      </c>
      <c r="Z77" s="14">
        <v>0.0</v>
      </c>
      <c r="AA77" s="14">
        <v>0.0</v>
      </c>
      <c r="AB77" s="11">
        <f t="shared" si="4"/>
        <v>17</v>
      </c>
    </row>
    <row r="78" ht="15.75" customHeight="1">
      <c r="A78" s="11" t="s">
        <v>36</v>
      </c>
      <c r="B78" s="13" t="s">
        <v>118</v>
      </c>
      <c r="C78" s="11">
        <v>1.2025569E7</v>
      </c>
      <c r="D78" s="13" t="s">
        <v>247</v>
      </c>
      <c r="E78" s="11" t="s">
        <v>91</v>
      </c>
      <c r="F78" s="11" t="s">
        <v>172</v>
      </c>
      <c r="G78" s="11" t="s">
        <v>248</v>
      </c>
      <c r="H78" s="11">
        <v>29.0</v>
      </c>
      <c r="I78" s="11">
        <v>38.0</v>
      </c>
      <c r="J78" s="14">
        <v>0.0</v>
      </c>
      <c r="K78" s="14">
        <v>26.0</v>
      </c>
      <c r="L78" s="14">
        <v>0.0</v>
      </c>
      <c r="M78" s="14">
        <v>0.0</v>
      </c>
      <c r="N78" s="14">
        <v>2.0</v>
      </c>
      <c r="O78" s="14">
        <v>0.0</v>
      </c>
      <c r="P78" s="14">
        <f t="shared" si="1"/>
        <v>28</v>
      </c>
      <c r="Q78" s="14">
        <v>3.0</v>
      </c>
      <c r="R78" s="14">
        <v>0.0</v>
      </c>
      <c r="S78" s="14">
        <v>0.0</v>
      </c>
      <c r="T78" s="14">
        <v>0.0</v>
      </c>
      <c r="U78" s="14">
        <f t="shared" si="2"/>
        <v>3</v>
      </c>
      <c r="V78" s="14">
        <v>0.0</v>
      </c>
      <c r="W78" s="14">
        <v>0.0</v>
      </c>
      <c r="X78" s="14">
        <v>0.0</v>
      </c>
      <c r="Y78" s="14">
        <f t="shared" si="3"/>
        <v>0</v>
      </c>
      <c r="Z78" s="14">
        <v>36.0</v>
      </c>
      <c r="AA78" s="14">
        <v>0.0</v>
      </c>
      <c r="AB78" s="11">
        <f t="shared" si="4"/>
        <v>67</v>
      </c>
    </row>
    <row r="79" ht="15.75" customHeight="1">
      <c r="A79" s="11" t="s">
        <v>36</v>
      </c>
      <c r="B79" s="13" t="s">
        <v>118</v>
      </c>
      <c r="C79" s="11">
        <v>1.2025569E7</v>
      </c>
      <c r="D79" s="13" t="s">
        <v>249</v>
      </c>
      <c r="E79" s="11" t="s">
        <v>91</v>
      </c>
      <c r="F79" s="11" t="s">
        <v>172</v>
      </c>
      <c r="G79" s="11" t="s">
        <v>250</v>
      </c>
      <c r="H79" s="11">
        <v>4.0</v>
      </c>
      <c r="I79" s="11">
        <v>7.0</v>
      </c>
      <c r="J79" s="14">
        <v>0.0</v>
      </c>
      <c r="K79" s="14">
        <v>5.0</v>
      </c>
      <c r="L79" s="14">
        <v>3.0</v>
      </c>
      <c r="M79" s="14">
        <v>0.0</v>
      </c>
      <c r="N79" s="14">
        <v>0.0</v>
      </c>
      <c r="O79" s="14">
        <v>0.0</v>
      </c>
      <c r="P79" s="14">
        <f t="shared" si="1"/>
        <v>8</v>
      </c>
      <c r="Q79" s="14">
        <v>0.0</v>
      </c>
      <c r="R79" s="14">
        <v>2.0</v>
      </c>
      <c r="S79" s="14">
        <v>1.0</v>
      </c>
      <c r="T79" s="14">
        <v>0.0</v>
      </c>
      <c r="U79" s="14">
        <f t="shared" si="2"/>
        <v>3</v>
      </c>
      <c r="V79" s="14">
        <v>0.0</v>
      </c>
      <c r="W79" s="14">
        <v>0.0</v>
      </c>
      <c r="X79" s="14">
        <v>0.0</v>
      </c>
      <c r="Y79" s="14">
        <f t="shared" si="3"/>
        <v>0</v>
      </c>
      <c r="Z79" s="14">
        <v>0.0</v>
      </c>
      <c r="AA79" s="14">
        <v>0.0</v>
      </c>
      <c r="AB79" s="11">
        <f t="shared" si="4"/>
        <v>11</v>
      </c>
    </row>
    <row r="80" ht="15.75" customHeight="1">
      <c r="A80" s="11">
        <v>125.0</v>
      </c>
      <c r="B80" s="13" t="s">
        <v>118</v>
      </c>
      <c r="C80" s="11">
        <v>1.2028118E7</v>
      </c>
      <c r="D80" s="13" t="s">
        <v>251</v>
      </c>
      <c r="E80" s="11" t="s">
        <v>79</v>
      </c>
      <c r="F80" s="11" t="s">
        <v>120</v>
      </c>
      <c r="G80" s="11" t="s">
        <v>252</v>
      </c>
      <c r="H80" s="11">
        <v>27.0</v>
      </c>
      <c r="I80" s="11">
        <v>30.0</v>
      </c>
      <c r="J80" s="14">
        <v>0.0</v>
      </c>
      <c r="K80" s="14">
        <v>11.0</v>
      </c>
      <c r="L80" s="14">
        <v>0.0</v>
      </c>
      <c r="M80" s="14">
        <v>10.0</v>
      </c>
      <c r="N80" s="14">
        <v>7.0</v>
      </c>
      <c r="O80" s="14">
        <v>2.0</v>
      </c>
      <c r="P80" s="14">
        <f t="shared" si="1"/>
        <v>30</v>
      </c>
      <c r="Q80" s="14">
        <v>2.0</v>
      </c>
      <c r="R80" s="14">
        <v>12.0</v>
      </c>
      <c r="S80" s="14">
        <v>2.0</v>
      </c>
      <c r="T80" s="14">
        <v>3.0</v>
      </c>
      <c r="U80" s="14">
        <f t="shared" si="2"/>
        <v>19</v>
      </c>
      <c r="V80" s="14">
        <v>8.0</v>
      </c>
      <c r="W80" s="14">
        <v>0.0</v>
      </c>
      <c r="X80" s="14">
        <v>0.0</v>
      </c>
      <c r="Y80" s="14">
        <f t="shared" si="3"/>
        <v>8</v>
      </c>
      <c r="Z80" s="14">
        <v>0.0</v>
      </c>
      <c r="AA80" s="14">
        <v>0.0</v>
      </c>
      <c r="AB80" s="11">
        <f t="shared" si="4"/>
        <v>57</v>
      </c>
    </row>
    <row r="81" ht="15.75" customHeight="1">
      <c r="A81" s="11">
        <v>17.0</v>
      </c>
      <c r="B81" s="13" t="s">
        <v>47</v>
      </c>
      <c r="C81" s="11">
        <v>1.2030678E7</v>
      </c>
      <c r="D81" s="13" t="s">
        <v>253</v>
      </c>
      <c r="E81" s="11" t="s">
        <v>111</v>
      </c>
      <c r="F81" s="11" t="s">
        <v>112</v>
      </c>
      <c r="G81" s="11" t="s">
        <v>254</v>
      </c>
      <c r="H81" s="11">
        <v>2.0</v>
      </c>
      <c r="I81" s="11">
        <v>6.0</v>
      </c>
      <c r="J81" s="14">
        <v>0.0</v>
      </c>
      <c r="K81" s="14">
        <v>1.0</v>
      </c>
      <c r="L81" s="14">
        <v>0.0</v>
      </c>
      <c r="M81" s="14">
        <v>2.0</v>
      </c>
      <c r="N81" s="14">
        <v>3.0</v>
      </c>
      <c r="O81" s="14">
        <v>2.0</v>
      </c>
      <c r="P81" s="14">
        <f t="shared" si="1"/>
        <v>8</v>
      </c>
      <c r="Q81" s="14">
        <v>0.0</v>
      </c>
      <c r="R81" s="14">
        <v>0.0</v>
      </c>
      <c r="S81" s="14">
        <v>0.0</v>
      </c>
      <c r="T81" s="14">
        <v>0.0</v>
      </c>
      <c r="U81" s="14">
        <f t="shared" si="2"/>
        <v>0</v>
      </c>
      <c r="V81" s="14">
        <v>0.0</v>
      </c>
      <c r="W81" s="14">
        <v>0.0</v>
      </c>
      <c r="X81" s="14">
        <v>0.0</v>
      </c>
      <c r="Y81" s="14">
        <f t="shared" si="3"/>
        <v>0</v>
      </c>
      <c r="Z81" s="14">
        <v>0.0</v>
      </c>
      <c r="AA81" s="14">
        <v>0.0</v>
      </c>
      <c r="AB81" s="11">
        <f t="shared" si="4"/>
        <v>8</v>
      </c>
    </row>
    <row r="82" ht="15.75" customHeight="1">
      <c r="A82" s="11" t="s">
        <v>36</v>
      </c>
      <c r="B82" s="13" t="s">
        <v>118</v>
      </c>
      <c r="C82" s="11">
        <v>1.2031461E7</v>
      </c>
      <c r="D82" s="13" t="s">
        <v>255</v>
      </c>
      <c r="E82" s="11" t="s">
        <v>171</v>
      </c>
      <c r="F82" s="11" t="s">
        <v>172</v>
      </c>
      <c r="G82" s="11" t="s">
        <v>36</v>
      </c>
      <c r="H82" s="11">
        <v>3.0</v>
      </c>
      <c r="I82" s="11">
        <v>5.0</v>
      </c>
      <c r="J82" s="14">
        <v>0.0</v>
      </c>
      <c r="K82" s="14">
        <v>0.0</v>
      </c>
      <c r="L82" s="14">
        <v>3.0</v>
      </c>
      <c r="M82" s="14">
        <v>2.0</v>
      </c>
      <c r="N82" s="14">
        <v>2.0</v>
      </c>
      <c r="O82" s="14">
        <v>0.0</v>
      </c>
      <c r="P82" s="14">
        <f t="shared" si="1"/>
        <v>7</v>
      </c>
      <c r="Q82" s="14">
        <v>1.0</v>
      </c>
      <c r="R82" s="14">
        <v>0.0</v>
      </c>
      <c r="S82" s="14">
        <v>0.0</v>
      </c>
      <c r="T82" s="14">
        <v>0.0</v>
      </c>
      <c r="U82" s="14">
        <f t="shared" si="2"/>
        <v>1</v>
      </c>
      <c r="V82" s="14">
        <v>0.0</v>
      </c>
      <c r="W82" s="14">
        <v>0.0</v>
      </c>
      <c r="X82" s="14">
        <v>0.0</v>
      </c>
      <c r="Y82" s="14">
        <f t="shared" si="3"/>
        <v>0</v>
      </c>
      <c r="Z82" s="14">
        <v>0.0</v>
      </c>
      <c r="AA82" s="14">
        <v>0.0</v>
      </c>
      <c r="AB82" s="11">
        <f t="shared" si="4"/>
        <v>8</v>
      </c>
    </row>
    <row r="83" ht="15.75" customHeight="1">
      <c r="A83" s="11">
        <v>140.0</v>
      </c>
      <c r="B83" s="13" t="s">
        <v>118</v>
      </c>
      <c r="C83" s="11">
        <v>1.2031461E7</v>
      </c>
      <c r="D83" s="13" t="s">
        <v>255</v>
      </c>
      <c r="E83" s="11" t="s">
        <v>171</v>
      </c>
      <c r="F83" s="11" t="s">
        <v>172</v>
      </c>
      <c r="G83" s="11" t="s">
        <v>256</v>
      </c>
      <c r="H83" s="11">
        <v>20.0</v>
      </c>
      <c r="I83" s="11">
        <v>7.0</v>
      </c>
      <c r="J83" s="14">
        <v>0.0</v>
      </c>
      <c r="K83" s="14">
        <v>3.0</v>
      </c>
      <c r="L83" s="14">
        <v>1.0</v>
      </c>
      <c r="M83" s="14">
        <v>4.0</v>
      </c>
      <c r="N83" s="14">
        <v>6.0</v>
      </c>
      <c r="O83" s="14">
        <v>4.0</v>
      </c>
      <c r="P83" s="14">
        <f t="shared" si="1"/>
        <v>18</v>
      </c>
      <c r="Q83" s="14">
        <v>1.0</v>
      </c>
      <c r="R83" s="14">
        <v>4.0</v>
      </c>
      <c r="S83" s="14">
        <v>2.0</v>
      </c>
      <c r="T83" s="14">
        <v>2.0</v>
      </c>
      <c r="U83" s="14">
        <f t="shared" si="2"/>
        <v>9</v>
      </c>
      <c r="V83" s="14">
        <v>0.0</v>
      </c>
      <c r="W83" s="14">
        <v>0.0</v>
      </c>
      <c r="X83" s="14">
        <v>0.0</v>
      </c>
      <c r="Y83" s="14">
        <f t="shared" si="3"/>
        <v>0</v>
      </c>
      <c r="Z83" s="14">
        <v>0.0</v>
      </c>
      <c r="AA83" s="14">
        <v>0.0</v>
      </c>
      <c r="AB83" s="11">
        <f t="shared" si="4"/>
        <v>27</v>
      </c>
    </row>
    <row r="84" ht="15.75" customHeight="1">
      <c r="A84" s="11">
        <v>25.0</v>
      </c>
      <c r="B84" s="13" t="s">
        <v>90</v>
      </c>
      <c r="C84" s="11">
        <v>1.2000841E7</v>
      </c>
      <c r="D84" s="13" t="s">
        <v>257</v>
      </c>
      <c r="E84" s="11" t="s">
        <v>91</v>
      </c>
      <c r="F84" s="11" t="s">
        <v>168</v>
      </c>
      <c r="G84" s="11" t="s">
        <v>258</v>
      </c>
      <c r="H84" s="11">
        <v>4.0</v>
      </c>
      <c r="I84" s="11">
        <v>3.0</v>
      </c>
      <c r="J84" s="14">
        <v>0.0</v>
      </c>
      <c r="K84" s="14">
        <v>2.0</v>
      </c>
      <c r="L84" s="14">
        <v>2.0</v>
      </c>
      <c r="M84" s="14">
        <v>3.0</v>
      </c>
      <c r="N84" s="14">
        <v>0.0</v>
      </c>
      <c r="O84" s="14">
        <v>0.0</v>
      </c>
      <c r="P84" s="14">
        <f t="shared" si="1"/>
        <v>7</v>
      </c>
      <c r="Q84" s="14">
        <v>0.0</v>
      </c>
      <c r="R84" s="14">
        <v>0.0</v>
      </c>
      <c r="S84" s="14">
        <v>0.0</v>
      </c>
      <c r="T84" s="14">
        <v>0.0</v>
      </c>
      <c r="U84" s="14">
        <f t="shared" si="2"/>
        <v>0</v>
      </c>
      <c r="V84" s="14">
        <v>0.0</v>
      </c>
      <c r="W84" s="14">
        <v>0.0</v>
      </c>
      <c r="X84" s="14">
        <v>0.0</v>
      </c>
      <c r="Y84" s="14">
        <f t="shared" si="3"/>
        <v>0</v>
      </c>
      <c r="Z84" s="14">
        <v>0.0</v>
      </c>
      <c r="AA84" s="14">
        <v>0.0</v>
      </c>
      <c r="AB84" s="11">
        <f t="shared" si="4"/>
        <v>7</v>
      </c>
    </row>
    <row r="85" ht="15.75" customHeight="1">
      <c r="A85" s="11">
        <v>26.0</v>
      </c>
      <c r="B85" s="13" t="s">
        <v>90</v>
      </c>
      <c r="C85" s="11">
        <v>1.2020664E7</v>
      </c>
      <c r="D85" s="13" t="s">
        <v>259</v>
      </c>
      <c r="E85" s="11" t="s">
        <v>91</v>
      </c>
      <c r="F85" s="11" t="s">
        <v>168</v>
      </c>
      <c r="G85" s="11" t="s">
        <v>260</v>
      </c>
      <c r="H85" s="11">
        <v>4.0</v>
      </c>
      <c r="I85" s="11">
        <v>4.0</v>
      </c>
      <c r="J85" s="14">
        <v>0.0</v>
      </c>
      <c r="K85" s="14">
        <v>4.0</v>
      </c>
      <c r="L85" s="14">
        <v>1.0</v>
      </c>
      <c r="M85" s="14">
        <v>3.0</v>
      </c>
      <c r="N85" s="14">
        <v>0.0</v>
      </c>
      <c r="O85" s="14">
        <v>0.0</v>
      </c>
      <c r="P85" s="14">
        <f t="shared" si="1"/>
        <v>8</v>
      </c>
      <c r="Q85" s="14">
        <v>0.0</v>
      </c>
      <c r="R85" s="14">
        <v>0.0</v>
      </c>
      <c r="S85" s="14">
        <v>0.0</v>
      </c>
      <c r="T85" s="14">
        <v>0.0</v>
      </c>
      <c r="U85" s="14">
        <f t="shared" si="2"/>
        <v>0</v>
      </c>
      <c r="V85" s="14">
        <v>0.0</v>
      </c>
      <c r="W85" s="14">
        <v>0.0</v>
      </c>
      <c r="X85" s="14">
        <v>0.0</v>
      </c>
      <c r="Y85" s="14">
        <f t="shared" si="3"/>
        <v>0</v>
      </c>
      <c r="Z85" s="14">
        <v>0.0</v>
      </c>
      <c r="AA85" s="14">
        <v>0.0</v>
      </c>
      <c r="AB85" s="11">
        <f t="shared" si="4"/>
        <v>8</v>
      </c>
    </row>
    <row r="86" ht="15.75" customHeight="1">
      <c r="A86" s="11">
        <v>126.0</v>
      </c>
      <c r="B86" s="13" t="s">
        <v>118</v>
      </c>
      <c r="C86" s="11">
        <v>1.2023264E7</v>
      </c>
      <c r="D86" s="13" t="s">
        <v>261</v>
      </c>
      <c r="E86" s="11" t="s">
        <v>79</v>
      </c>
      <c r="F86" s="11" t="s">
        <v>120</v>
      </c>
      <c r="G86" s="11" t="s">
        <v>262</v>
      </c>
      <c r="H86" s="11">
        <v>38.0</v>
      </c>
      <c r="I86" s="11">
        <v>38.0</v>
      </c>
      <c r="J86" s="14">
        <v>0.0</v>
      </c>
      <c r="K86" s="14">
        <v>9.0</v>
      </c>
      <c r="L86" s="14">
        <v>0.0</v>
      </c>
      <c r="M86" s="14">
        <v>5.0</v>
      </c>
      <c r="N86" s="14">
        <v>1.0</v>
      </c>
      <c r="O86" s="14">
        <v>10.0</v>
      </c>
      <c r="P86" s="14">
        <f t="shared" si="1"/>
        <v>25</v>
      </c>
      <c r="Q86" s="14">
        <v>4.0</v>
      </c>
      <c r="R86" s="14">
        <v>5.0</v>
      </c>
      <c r="S86" s="14">
        <v>9.0</v>
      </c>
      <c r="T86" s="14">
        <v>11.0</v>
      </c>
      <c r="U86" s="14">
        <f t="shared" si="2"/>
        <v>29</v>
      </c>
      <c r="V86" s="14">
        <v>22.0</v>
      </c>
      <c r="W86" s="14">
        <v>0.0</v>
      </c>
      <c r="X86" s="14">
        <v>0.0</v>
      </c>
      <c r="Y86" s="14">
        <f t="shared" si="3"/>
        <v>22</v>
      </c>
      <c r="Z86" s="14">
        <v>0.0</v>
      </c>
      <c r="AA86" s="14">
        <v>0.0</v>
      </c>
      <c r="AB86" s="11">
        <f t="shared" si="4"/>
        <v>76</v>
      </c>
    </row>
    <row r="87" ht="15.75" customHeight="1">
      <c r="A87" s="11" t="s">
        <v>36</v>
      </c>
      <c r="B87" s="13" t="s">
        <v>118</v>
      </c>
      <c r="C87" s="11">
        <v>1.2023264E7</v>
      </c>
      <c r="D87" s="13" t="s">
        <v>263</v>
      </c>
      <c r="E87" s="11" t="s">
        <v>79</v>
      </c>
      <c r="F87" s="11" t="s">
        <v>120</v>
      </c>
      <c r="G87" s="11" t="s">
        <v>224</v>
      </c>
      <c r="H87" s="11">
        <v>2.0</v>
      </c>
      <c r="I87" s="11">
        <v>5.0</v>
      </c>
      <c r="J87" s="14">
        <v>0.0</v>
      </c>
      <c r="K87" s="14">
        <v>0.0</v>
      </c>
      <c r="L87" s="14">
        <v>0.0</v>
      </c>
      <c r="M87" s="14">
        <v>1.0</v>
      </c>
      <c r="N87" s="14">
        <v>2.0</v>
      </c>
      <c r="O87" s="14">
        <v>1.0</v>
      </c>
      <c r="P87" s="14">
        <f t="shared" si="1"/>
        <v>4</v>
      </c>
      <c r="Q87" s="14">
        <v>3.0</v>
      </c>
      <c r="R87" s="14">
        <v>0.0</v>
      </c>
      <c r="S87" s="14">
        <v>0.0</v>
      </c>
      <c r="T87" s="14">
        <v>0.0</v>
      </c>
      <c r="U87" s="14">
        <f t="shared" si="2"/>
        <v>3</v>
      </c>
      <c r="V87" s="14">
        <v>0.0</v>
      </c>
      <c r="W87" s="14">
        <v>0.0</v>
      </c>
      <c r="X87" s="14">
        <v>0.0</v>
      </c>
      <c r="Y87" s="14">
        <f t="shared" si="3"/>
        <v>0</v>
      </c>
      <c r="Z87" s="14">
        <v>0.0</v>
      </c>
      <c r="AA87" s="14">
        <v>0.0</v>
      </c>
      <c r="AB87" s="11">
        <f t="shared" si="4"/>
        <v>7</v>
      </c>
    </row>
    <row r="88" ht="15.75" customHeight="1">
      <c r="A88" s="11">
        <v>59.0</v>
      </c>
      <c r="B88" s="13" t="s">
        <v>49</v>
      </c>
      <c r="C88" s="11">
        <v>1.2032751E7</v>
      </c>
      <c r="D88" s="13" t="s">
        <v>264</v>
      </c>
      <c r="E88" s="11" t="s">
        <v>87</v>
      </c>
      <c r="F88" s="11" t="s">
        <v>88</v>
      </c>
      <c r="G88" s="11" t="s">
        <v>265</v>
      </c>
      <c r="H88" s="11">
        <v>8.0</v>
      </c>
      <c r="I88" s="11">
        <v>8.0</v>
      </c>
      <c r="J88" s="14">
        <v>2.0</v>
      </c>
      <c r="K88" s="14">
        <v>1.0</v>
      </c>
      <c r="L88" s="14">
        <v>0.0</v>
      </c>
      <c r="M88" s="14">
        <v>3.0</v>
      </c>
      <c r="N88" s="14">
        <v>2.0</v>
      </c>
      <c r="O88" s="14">
        <v>0.0</v>
      </c>
      <c r="P88" s="14">
        <f t="shared" si="1"/>
        <v>6</v>
      </c>
      <c r="Q88" s="14">
        <v>1.0</v>
      </c>
      <c r="R88" s="14">
        <v>0.0</v>
      </c>
      <c r="S88" s="14">
        <v>4.0</v>
      </c>
      <c r="T88" s="14">
        <v>3.0</v>
      </c>
      <c r="U88" s="14">
        <f t="shared" si="2"/>
        <v>8</v>
      </c>
      <c r="V88" s="14">
        <v>0.0</v>
      </c>
      <c r="W88" s="14">
        <v>0.0</v>
      </c>
      <c r="X88" s="14">
        <v>0.0</v>
      </c>
      <c r="Y88" s="14">
        <f t="shared" si="3"/>
        <v>0</v>
      </c>
      <c r="Z88" s="14">
        <v>0.0</v>
      </c>
      <c r="AA88" s="14">
        <v>0.0</v>
      </c>
      <c r="AB88" s="11">
        <f t="shared" si="4"/>
        <v>16</v>
      </c>
    </row>
    <row r="89" ht="15.75" customHeight="1">
      <c r="A89" s="11" t="s">
        <v>36</v>
      </c>
      <c r="B89" s="13" t="s">
        <v>49</v>
      </c>
      <c r="C89" s="11">
        <v>1.2032751E7</v>
      </c>
      <c r="D89" s="13" t="s">
        <v>266</v>
      </c>
      <c r="E89" s="11" t="s">
        <v>87</v>
      </c>
      <c r="F89" s="11" t="s">
        <v>88</v>
      </c>
      <c r="G89" s="11" t="s">
        <v>267</v>
      </c>
      <c r="H89" s="11">
        <v>3.0</v>
      </c>
      <c r="I89" s="11">
        <v>8.0</v>
      </c>
      <c r="J89" s="14">
        <v>0.0</v>
      </c>
      <c r="K89" s="14">
        <v>1.0</v>
      </c>
      <c r="L89" s="14">
        <v>1.0</v>
      </c>
      <c r="M89" s="14">
        <v>1.0</v>
      </c>
      <c r="N89" s="14">
        <v>0.0</v>
      </c>
      <c r="O89" s="14">
        <v>0.0</v>
      </c>
      <c r="P89" s="14">
        <f t="shared" si="1"/>
        <v>3</v>
      </c>
      <c r="Q89" s="14">
        <v>1.0</v>
      </c>
      <c r="R89" s="14">
        <v>3.0</v>
      </c>
      <c r="S89" s="14">
        <v>2.0</v>
      </c>
      <c r="T89" s="14">
        <v>2.0</v>
      </c>
      <c r="U89" s="14">
        <f t="shared" si="2"/>
        <v>8</v>
      </c>
      <c r="V89" s="14">
        <v>0.0</v>
      </c>
      <c r="W89" s="14">
        <v>0.0</v>
      </c>
      <c r="X89" s="14">
        <v>0.0</v>
      </c>
      <c r="Y89" s="14">
        <f t="shared" si="3"/>
        <v>0</v>
      </c>
      <c r="Z89" s="14">
        <v>0.0</v>
      </c>
      <c r="AA89" s="14">
        <v>0.0</v>
      </c>
      <c r="AB89" s="11">
        <f t="shared" si="4"/>
        <v>11</v>
      </c>
    </row>
    <row r="90" ht="15.75" customHeight="1">
      <c r="A90" s="11" t="s">
        <v>36</v>
      </c>
      <c r="B90" s="13" t="s">
        <v>49</v>
      </c>
      <c r="C90" s="11">
        <v>1.2032751E7</v>
      </c>
      <c r="D90" s="13" t="s">
        <v>268</v>
      </c>
      <c r="E90" s="11" t="s">
        <v>87</v>
      </c>
      <c r="F90" s="11" t="s">
        <v>88</v>
      </c>
      <c r="G90" s="11" t="s">
        <v>269</v>
      </c>
      <c r="H90" s="11">
        <v>3.0</v>
      </c>
      <c r="I90" s="11">
        <v>4.0</v>
      </c>
      <c r="J90" s="14">
        <v>0.0</v>
      </c>
      <c r="K90" s="14">
        <v>1.0</v>
      </c>
      <c r="L90" s="14">
        <v>0.0</v>
      </c>
      <c r="M90" s="14">
        <v>0.0</v>
      </c>
      <c r="N90" s="14">
        <v>0.0</v>
      </c>
      <c r="O90" s="14">
        <v>0.0</v>
      </c>
      <c r="P90" s="14">
        <f t="shared" si="1"/>
        <v>1</v>
      </c>
      <c r="Q90" s="14">
        <v>2.0</v>
      </c>
      <c r="R90" s="14">
        <v>1.0</v>
      </c>
      <c r="S90" s="14">
        <v>2.0</v>
      </c>
      <c r="T90" s="14">
        <v>1.0</v>
      </c>
      <c r="U90" s="14">
        <f t="shared" si="2"/>
        <v>6</v>
      </c>
      <c r="V90" s="14">
        <v>0.0</v>
      </c>
      <c r="W90" s="14">
        <v>0.0</v>
      </c>
      <c r="X90" s="14">
        <v>0.0</v>
      </c>
      <c r="Y90" s="14">
        <f t="shared" si="3"/>
        <v>0</v>
      </c>
      <c r="Z90" s="14">
        <v>0.0</v>
      </c>
      <c r="AA90" s="14">
        <v>0.0</v>
      </c>
      <c r="AB90" s="11">
        <f t="shared" si="4"/>
        <v>7</v>
      </c>
    </row>
    <row r="91" ht="15.75" customHeight="1">
      <c r="A91" s="11">
        <v>122.0</v>
      </c>
      <c r="B91" s="13" t="s">
        <v>118</v>
      </c>
      <c r="C91" s="11">
        <v>1.2006106E7</v>
      </c>
      <c r="D91" s="13" t="s">
        <v>270</v>
      </c>
      <c r="E91" s="11" t="s">
        <v>79</v>
      </c>
      <c r="F91" s="11" t="s">
        <v>271</v>
      </c>
      <c r="G91" s="11" t="s">
        <v>271</v>
      </c>
      <c r="H91" s="11">
        <v>28.0</v>
      </c>
      <c r="I91" s="11">
        <v>12.0</v>
      </c>
      <c r="J91" s="14">
        <v>4.0</v>
      </c>
      <c r="K91" s="14">
        <v>10.0</v>
      </c>
      <c r="L91" s="14">
        <v>3.0</v>
      </c>
      <c r="M91" s="14">
        <v>9.0</v>
      </c>
      <c r="N91" s="14">
        <v>7.0</v>
      </c>
      <c r="O91" s="14">
        <v>1.0</v>
      </c>
      <c r="P91" s="14">
        <f t="shared" si="1"/>
        <v>30</v>
      </c>
      <c r="Q91" s="14">
        <v>3.0</v>
      </c>
      <c r="R91" s="14">
        <v>2.0</v>
      </c>
      <c r="S91" s="14">
        <v>0.0</v>
      </c>
      <c r="T91" s="14">
        <v>1.0</v>
      </c>
      <c r="U91" s="14">
        <f t="shared" si="2"/>
        <v>6</v>
      </c>
      <c r="V91" s="14">
        <v>0.0</v>
      </c>
      <c r="W91" s="14">
        <v>0.0</v>
      </c>
      <c r="X91" s="14">
        <v>0.0</v>
      </c>
      <c r="Y91" s="14">
        <f t="shared" si="3"/>
        <v>0</v>
      </c>
      <c r="Z91" s="14">
        <v>0.0</v>
      </c>
      <c r="AA91" s="14">
        <v>0.0</v>
      </c>
      <c r="AB91" s="11">
        <f t="shared" si="4"/>
        <v>40</v>
      </c>
    </row>
    <row r="92" ht="15.75" customHeight="1">
      <c r="A92" s="11">
        <v>11.0</v>
      </c>
      <c r="B92" s="13" t="s">
        <v>47</v>
      </c>
      <c r="C92" s="11">
        <v>1.2026212E7</v>
      </c>
      <c r="D92" s="13" t="s">
        <v>272</v>
      </c>
      <c r="E92" s="11" t="s">
        <v>60</v>
      </c>
      <c r="F92" s="11" t="s">
        <v>112</v>
      </c>
      <c r="G92" s="11" t="s">
        <v>273</v>
      </c>
      <c r="H92" s="11">
        <v>7.0</v>
      </c>
      <c r="I92" s="11">
        <v>5.0</v>
      </c>
      <c r="J92" s="14">
        <v>0.0</v>
      </c>
      <c r="K92" s="14">
        <v>0.0</v>
      </c>
      <c r="L92" s="14">
        <v>2.0</v>
      </c>
      <c r="M92" s="14">
        <v>2.0</v>
      </c>
      <c r="N92" s="14">
        <v>4.0</v>
      </c>
      <c r="O92" s="14">
        <v>4.0</v>
      </c>
      <c r="P92" s="14">
        <f t="shared" si="1"/>
        <v>12</v>
      </c>
      <c r="Q92" s="14">
        <v>0.0</v>
      </c>
      <c r="R92" s="14">
        <v>0.0</v>
      </c>
      <c r="S92" s="14">
        <v>0.0</v>
      </c>
      <c r="T92" s="14">
        <v>0.0</v>
      </c>
      <c r="U92" s="14">
        <f t="shared" si="2"/>
        <v>0</v>
      </c>
      <c r="V92" s="14">
        <v>0.0</v>
      </c>
      <c r="W92" s="14">
        <v>0.0</v>
      </c>
      <c r="X92" s="14">
        <v>0.0</v>
      </c>
      <c r="Y92" s="14">
        <f t="shared" si="3"/>
        <v>0</v>
      </c>
      <c r="Z92" s="14">
        <v>0.0</v>
      </c>
      <c r="AA92" s="14">
        <v>0.0</v>
      </c>
      <c r="AB92" s="11">
        <f t="shared" si="4"/>
        <v>12</v>
      </c>
    </row>
    <row r="93" ht="15.75" customHeight="1">
      <c r="A93" s="11">
        <v>91.0</v>
      </c>
      <c r="B93" s="13" t="s">
        <v>95</v>
      </c>
      <c r="C93" s="11">
        <v>1.2003263E7</v>
      </c>
      <c r="D93" s="13" t="s">
        <v>274</v>
      </c>
      <c r="E93" s="11" t="s">
        <v>97</v>
      </c>
      <c r="F93" s="11" t="s">
        <v>98</v>
      </c>
      <c r="G93" s="11" t="s">
        <v>275</v>
      </c>
      <c r="H93" s="11">
        <v>43.0</v>
      </c>
      <c r="I93" s="11">
        <v>31.0</v>
      </c>
      <c r="J93" s="14">
        <v>11.0</v>
      </c>
      <c r="K93" s="14">
        <v>3.0</v>
      </c>
      <c r="L93" s="14">
        <v>3.0</v>
      </c>
      <c r="M93" s="14">
        <v>1.0</v>
      </c>
      <c r="N93" s="14">
        <v>1.0</v>
      </c>
      <c r="O93" s="14">
        <v>4.0</v>
      </c>
      <c r="P93" s="14">
        <f t="shared" si="1"/>
        <v>12</v>
      </c>
      <c r="Q93" s="14">
        <v>13.0</v>
      </c>
      <c r="R93" s="14">
        <v>7.0</v>
      </c>
      <c r="S93" s="14">
        <v>6.0</v>
      </c>
      <c r="T93" s="14">
        <v>3.0</v>
      </c>
      <c r="U93" s="14">
        <f t="shared" si="2"/>
        <v>29</v>
      </c>
      <c r="V93" s="14">
        <v>13.0</v>
      </c>
      <c r="W93" s="14">
        <v>9.0</v>
      </c>
      <c r="X93" s="14">
        <v>0.0</v>
      </c>
      <c r="Y93" s="14">
        <f t="shared" si="3"/>
        <v>22</v>
      </c>
      <c r="Z93" s="14">
        <v>0.0</v>
      </c>
      <c r="AA93" s="14">
        <v>0.0</v>
      </c>
      <c r="AB93" s="11">
        <f t="shared" si="4"/>
        <v>74</v>
      </c>
    </row>
    <row r="94" ht="15.75" customHeight="1">
      <c r="A94" s="11">
        <v>98.0</v>
      </c>
      <c r="B94" s="13" t="s">
        <v>84</v>
      </c>
      <c r="C94" s="11">
        <v>1.2027677E7</v>
      </c>
      <c r="D94" s="13" t="s">
        <v>276</v>
      </c>
      <c r="E94" s="11" t="s">
        <v>229</v>
      </c>
      <c r="F94" s="11" t="s">
        <v>159</v>
      </c>
      <c r="G94" s="11" t="s">
        <v>277</v>
      </c>
      <c r="H94" s="11">
        <v>4.0</v>
      </c>
      <c r="I94" s="11">
        <v>1.0</v>
      </c>
      <c r="J94" s="14">
        <v>2.0</v>
      </c>
      <c r="K94" s="14">
        <v>0.0</v>
      </c>
      <c r="L94" s="14">
        <v>0.0</v>
      </c>
      <c r="M94" s="14">
        <v>0.0</v>
      </c>
      <c r="N94" s="14">
        <v>0.0</v>
      </c>
      <c r="O94" s="14">
        <v>1.0</v>
      </c>
      <c r="P94" s="14">
        <f t="shared" si="1"/>
        <v>1</v>
      </c>
      <c r="Q94" s="14" t="s">
        <v>278</v>
      </c>
      <c r="R94" s="14">
        <v>2.0</v>
      </c>
      <c r="S94" s="14">
        <v>0.0</v>
      </c>
      <c r="T94" s="14">
        <v>0.0</v>
      </c>
      <c r="U94" s="14">
        <f t="shared" si="2"/>
        <v>2</v>
      </c>
      <c r="V94" s="14">
        <v>0.0</v>
      </c>
      <c r="W94" s="14">
        <v>0.0</v>
      </c>
      <c r="X94" s="14">
        <v>0.0</v>
      </c>
      <c r="Y94" s="14">
        <f t="shared" si="3"/>
        <v>0</v>
      </c>
      <c r="Z94" s="14">
        <v>0.0</v>
      </c>
      <c r="AA94" s="14">
        <v>0.0</v>
      </c>
      <c r="AB94" s="11">
        <f t="shared" si="4"/>
        <v>5</v>
      </c>
    </row>
    <row r="95" ht="15.75" customHeight="1">
      <c r="A95" s="11">
        <v>7.0</v>
      </c>
      <c r="B95" s="13" t="s">
        <v>47</v>
      </c>
      <c r="C95" s="11">
        <v>1.2033448E7</v>
      </c>
      <c r="D95" s="13" t="s">
        <v>279</v>
      </c>
      <c r="E95" s="11" t="s">
        <v>111</v>
      </c>
      <c r="F95" s="11" t="s">
        <v>280</v>
      </c>
      <c r="G95" s="11" t="s">
        <v>281</v>
      </c>
      <c r="H95" s="11">
        <v>3.0</v>
      </c>
      <c r="I95" s="11">
        <v>5.0</v>
      </c>
      <c r="J95" s="14">
        <v>0.0</v>
      </c>
      <c r="K95" s="14">
        <v>0.0</v>
      </c>
      <c r="L95" s="14">
        <v>1.0</v>
      </c>
      <c r="M95" s="14">
        <v>1.0</v>
      </c>
      <c r="N95" s="14">
        <v>3.0</v>
      </c>
      <c r="O95" s="14">
        <v>3.0</v>
      </c>
      <c r="P95" s="14">
        <f t="shared" si="1"/>
        <v>8</v>
      </c>
      <c r="Q95" s="14">
        <v>0.0</v>
      </c>
      <c r="R95" s="14">
        <v>0.0</v>
      </c>
      <c r="S95" s="14">
        <v>0.0</v>
      </c>
      <c r="T95" s="14">
        <v>0.0</v>
      </c>
      <c r="U95" s="14">
        <f t="shared" si="2"/>
        <v>0</v>
      </c>
      <c r="V95" s="14">
        <v>0.0</v>
      </c>
      <c r="W95" s="14">
        <v>0.0</v>
      </c>
      <c r="X95" s="14">
        <v>0.0</v>
      </c>
      <c r="Y95" s="14">
        <f t="shared" si="3"/>
        <v>0</v>
      </c>
      <c r="Z95" s="14">
        <v>0.0</v>
      </c>
      <c r="AA95" s="14">
        <v>0.0</v>
      </c>
      <c r="AB95" s="11">
        <f t="shared" si="4"/>
        <v>8</v>
      </c>
    </row>
    <row r="96" ht="15.75" customHeight="1">
      <c r="A96" s="11">
        <v>78.0</v>
      </c>
      <c r="B96" s="13" t="s">
        <v>35</v>
      </c>
      <c r="C96" s="11">
        <v>1.2031356E7</v>
      </c>
      <c r="D96" s="13" t="s">
        <v>282</v>
      </c>
      <c r="E96" s="11" t="s">
        <v>39</v>
      </c>
      <c r="F96" s="11" t="s">
        <v>40</v>
      </c>
      <c r="G96" s="11" t="s">
        <v>42</v>
      </c>
      <c r="H96" s="11">
        <v>5.0</v>
      </c>
      <c r="I96" s="11">
        <v>6.0</v>
      </c>
      <c r="J96" s="14">
        <v>2.0</v>
      </c>
      <c r="K96" s="14">
        <v>1.0</v>
      </c>
      <c r="L96" s="14">
        <v>0.0</v>
      </c>
      <c r="M96" s="14">
        <v>2.0</v>
      </c>
      <c r="N96" s="14">
        <v>2.0</v>
      </c>
      <c r="O96" s="14">
        <v>4.0</v>
      </c>
      <c r="P96" s="14">
        <f t="shared" si="1"/>
        <v>9</v>
      </c>
      <c r="Q96" s="14">
        <v>0.0</v>
      </c>
      <c r="R96" s="14">
        <v>0.0</v>
      </c>
      <c r="S96" s="14">
        <v>0.0</v>
      </c>
      <c r="T96" s="14">
        <v>0.0</v>
      </c>
      <c r="U96" s="14">
        <f t="shared" si="2"/>
        <v>0</v>
      </c>
      <c r="V96" s="14">
        <v>0.0</v>
      </c>
      <c r="W96" s="14">
        <v>0.0</v>
      </c>
      <c r="X96" s="14">
        <v>0.0</v>
      </c>
      <c r="Y96" s="14">
        <f t="shared" si="3"/>
        <v>0</v>
      </c>
      <c r="Z96" s="14">
        <v>0.0</v>
      </c>
      <c r="AA96" s="14">
        <v>0.0</v>
      </c>
      <c r="AB96" s="11">
        <f t="shared" si="4"/>
        <v>11</v>
      </c>
    </row>
    <row r="97" ht="15.75" customHeight="1">
      <c r="A97" s="11">
        <f>A96+1</f>
        <v>79</v>
      </c>
      <c r="B97" s="13" t="s">
        <v>49</v>
      </c>
      <c r="C97" s="11">
        <v>1.2023388E7</v>
      </c>
      <c r="D97" s="13" t="s">
        <v>283</v>
      </c>
      <c r="E97" s="11" t="s">
        <v>51</v>
      </c>
      <c r="F97" s="11" t="s">
        <v>145</v>
      </c>
      <c r="G97" s="11" t="s">
        <v>284</v>
      </c>
      <c r="H97" s="11">
        <v>14.0</v>
      </c>
      <c r="I97" s="11">
        <v>22.0</v>
      </c>
      <c r="J97" s="14">
        <v>0.0</v>
      </c>
      <c r="K97" s="14">
        <v>5.0</v>
      </c>
      <c r="L97" s="14">
        <v>2.0</v>
      </c>
      <c r="M97" s="14">
        <v>4.0</v>
      </c>
      <c r="N97" s="14">
        <v>9.0</v>
      </c>
      <c r="O97" s="14">
        <v>6.0</v>
      </c>
      <c r="P97" s="14">
        <f t="shared" si="1"/>
        <v>26</v>
      </c>
      <c r="Q97" s="14">
        <v>4.0</v>
      </c>
      <c r="R97" s="14">
        <v>3.0</v>
      </c>
      <c r="S97" s="14">
        <v>3.0</v>
      </c>
      <c r="T97" s="14">
        <v>0.0</v>
      </c>
      <c r="U97" s="14">
        <f t="shared" si="2"/>
        <v>10</v>
      </c>
      <c r="V97" s="14">
        <v>0.0</v>
      </c>
      <c r="W97" s="14">
        <v>0.0</v>
      </c>
      <c r="X97" s="14">
        <v>0.0</v>
      </c>
      <c r="Y97" s="14">
        <f t="shared" si="3"/>
        <v>0</v>
      </c>
      <c r="Z97" s="14">
        <v>0.0</v>
      </c>
      <c r="AA97" s="14">
        <v>0.0</v>
      </c>
      <c r="AB97" s="11">
        <f t="shared" si="4"/>
        <v>36</v>
      </c>
    </row>
    <row r="98" ht="15.75" customHeight="1">
      <c r="A98" s="11">
        <v>127.0</v>
      </c>
      <c r="B98" s="13" t="s">
        <v>118</v>
      </c>
      <c r="C98" s="11">
        <v>1.2023272E7</v>
      </c>
      <c r="D98" s="13" t="s">
        <v>285</v>
      </c>
      <c r="E98" s="11" t="s">
        <v>79</v>
      </c>
      <c r="F98" s="11" t="s">
        <v>120</v>
      </c>
      <c r="G98" s="11" t="s">
        <v>286</v>
      </c>
      <c r="H98" s="11">
        <v>13.0</v>
      </c>
      <c r="I98" s="11">
        <v>8.0</v>
      </c>
      <c r="J98" s="14">
        <v>0.0</v>
      </c>
      <c r="K98" s="14">
        <v>2.0</v>
      </c>
      <c r="L98" s="14">
        <v>0.0</v>
      </c>
      <c r="M98" s="14">
        <v>6.0</v>
      </c>
      <c r="N98" s="14">
        <v>0.0</v>
      </c>
      <c r="O98" s="14">
        <v>0.0</v>
      </c>
      <c r="P98" s="14">
        <f t="shared" si="1"/>
        <v>8</v>
      </c>
      <c r="Q98" s="14">
        <v>1.0</v>
      </c>
      <c r="R98" s="14">
        <v>3.0</v>
      </c>
      <c r="S98" s="14">
        <v>2.0</v>
      </c>
      <c r="T98" s="14">
        <v>0.0</v>
      </c>
      <c r="U98" s="14">
        <f t="shared" si="2"/>
        <v>6</v>
      </c>
      <c r="V98" s="14">
        <v>7.0</v>
      </c>
      <c r="W98" s="14">
        <v>0.0</v>
      </c>
      <c r="X98" s="14">
        <v>0.0</v>
      </c>
      <c r="Y98" s="14">
        <f t="shared" si="3"/>
        <v>7</v>
      </c>
      <c r="Z98" s="14">
        <v>0.0</v>
      </c>
      <c r="AA98" s="14">
        <v>0.0</v>
      </c>
      <c r="AB98" s="11">
        <f t="shared" si="4"/>
        <v>21</v>
      </c>
    </row>
    <row r="99" ht="15.75" customHeight="1">
      <c r="A99" s="11">
        <v>60.0</v>
      </c>
      <c r="B99" s="13" t="s">
        <v>49</v>
      </c>
      <c r="C99" s="11">
        <v>1.200465E7</v>
      </c>
      <c r="D99" s="13" t="s">
        <v>287</v>
      </c>
      <c r="E99" s="11" t="s">
        <v>87</v>
      </c>
      <c r="F99" s="11" t="s">
        <v>88</v>
      </c>
      <c r="G99" s="11" t="s">
        <v>288</v>
      </c>
      <c r="H99" s="11">
        <v>40.0</v>
      </c>
      <c r="I99" s="11">
        <v>30.0</v>
      </c>
      <c r="J99" s="14">
        <v>0.0</v>
      </c>
      <c r="K99" s="14">
        <v>4.0</v>
      </c>
      <c r="L99" s="14">
        <v>7.0</v>
      </c>
      <c r="M99" s="14">
        <v>6.0</v>
      </c>
      <c r="N99" s="14">
        <v>3.0</v>
      </c>
      <c r="O99" s="14">
        <v>5.0</v>
      </c>
      <c r="P99" s="14">
        <f t="shared" si="1"/>
        <v>25</v>
      </c>
      <c r="Q99" s="14">
        <v>6.0</v>
      </c>
      <c r="R99" s="14">
        <v>2.0</v>
      </c>
      <c r="S99" s="14">
        <v>3.0</v>
      </c>
      <c r="T99" s="14">
        <v>7.0</v>
      </c>
      <c r="U99" s="14">
        <f t="shared" si="2"/>
        <v>18</v>
      </c>
      <c r="V99" s="14">
        <v>12.0</v>
      </c>
      <c r="W99" s="14">
        <v>5.0</v>
      </c>
      <c r="X99" s="14">
        <v>10.0</v>
      </c>
      <c r="Y99" s="14">
        <f t="shared" si="3"/>
        <v>27</v>
      </c>
      <c r="Z99" s="14">
        <v>0.0</v>
      </c>
      <c r="AA99" s="14">
        <v>0.0</v>
      </c>
      <c r="AB99" s="11">
        <f t="shared" si="4"/>
        <v>70</v>
      </c>
    </row>
    <row r="100" ht="15.75" customHeight="1">
      <c r="A100" s="11">
        <v>92.0</v>
      </c>
      <c r="B100" s="13" t="s">
        <v>95</v>
      </c>
      <c r="C100" s="11">
        <v>1.2035823E7</v>
      </c>
      <c r="D100" s="13" t="s">
        <v>289</v>
      </c>
      <c r="E100" s="11" t="s">
        <v>97</v>
      </c>
      <c r="F100" s="11" t="s">
        <v>98</v>
      </c>
      <c r="G100" s="11" t="s">
        <v>290</v>
      </c>
      <c r="H100" s="11">
        <v>19.0</v>
      </c>
      <c r="I100" s="11">
        <v>7.0</v>
      </c>
      <c r="J100" s="14">
        <v>6.0</v>
      </c>
      <c r="K100" s="14">
        <v>2.0</v>
      </c>
      <c r="L100" s="14">
        <v>3.0</v>
      </c>
      <c r="M100" s="14">
        <v>1.0</v>
      </c>
      <c r="N100" s="14">
        <v>4.0</v>
      </c>
      <c r="O100" s="14">
        <v>0.0</v>
      </c>
      <c r="P100" s="14">
        <f t="shared" si="1"/>
        <v>10</v>
      </c>
      <c r="Q100" s="14">
        <v>1.0</v>
      </c>
      <c r="R100" s="14">
        <v>5.0</v>
      </c>
      <c r="S100" s="14">
        <v>1.0</v>
      </c>
      <c r="T100" s="14">
        <v>3.0</v>
      </c>
      <c r="U100" s="14">
        <f t="shared" si="2"/>
        <v>10</v>
      </c>
      <c r="V100" s="14">
        <v>0.0</v>
      </c>
      <c r="W100" s="14">
        <v>0.0</v>
      </c>
      <c r="X100" s="14">
        <v>0.0</v>
      </c>
      <c r="Y100" s="14">
        <f t="shared" si="3"/>
        <v>0</v>
      </c>
      <c r="Z100" s="14">
        <v>0.0</v>
      </c>
      <c r="AA100" s="14">
        <v>0.0</v>
      </c>
      <c r="AB100" s="11">
        <f t="shared" si="4"/>
        <v>26</v>
      </c>
    </row>
    <row r="101" ht="15.75" customHeight="1">
      <c r="A101" s="11">
        <v>93.0</v>
      </c>
      <c r="B101" s="13" t="s">
        <v>95</v>
      </c>
      <c r="C101" s="11">
        <v>1.2027111E7</v>
      </c>
      <c r="D101" s="13" t="s">
        <v>291</v>
      </c>
      <c r="E101" s="11" t="s">
        <v>97</v>
      </c>
      <c r="F101" s="11" t="s">
        <v>98</v>
      </c>
      <c r="G101" s="11" t="s">
        <v>292</v>
      </c>
      <c r="H101" s="11">
        <v>11.0</v>
      </c>
      <c r="I101" s="11">
        <v>10.0</v>
      </c>
      <c r="J101" s="14">
        <v>3.0</v>
      </c>
      <c r="K101" s="14">
        <v>2.0</v>
      </c>
      <c r="L101" s="14">
        <v>1.0</v>
      </c>
      <c r="M101" s="14">
        <v>0.0</v>
      </c>
      <c r="N101" s="14">
        <v>4.0</v>
      </c>
      <c r="O101" s="14">
        <v>0.0</v>
      </c>
      <c r="P101" s="14">
        <f t="shared" si="1"/>
        <v>7</v>
      </c>
      <c r="Q101" s="14">
        <v>5.0</v>
      </c>
      <c r="R101" s="14">
        <v>1.0</v>
      </c>
      <c r="S101" s="14">
        <v>4.0</v>
      </c>
      <c r="T101" s="14">
        <v>1.0</v>
      </c>
      <c r="U101" s="14">
        <f t="shared" si="2"/>
        <v>11</v>
      </c>
      <c r="V101" s="14">
        <v>0.0</v>
      </c>
      <c r="W101" s="14">
        <v>0.0</v>
      </c>
      <c r="X101" s="14">
        <v>0.0</v>
      </c>
      <c r="Y101" s="14">
        <f t="shared" si="3"/>
        <v>0</v>
      </c>
      <c r="Z101" s="14">
        <v>0.0</v>
      </c>
      <c r="AA101" s="14">
        <v>0.0</v>
      </c>
      <c r="AB101" s="11">
        <f t="shared" si="4"/>
        <v>21</v>
      </c>
    </row>
    <row r="102" ht="15.75" customHeight="1">
      <c r="A102" s="11">
        <v>112.0</v>
      </c>
      <c r="B102" s="13" t="s">
        <v>59</v>
      </c>
      <c r="C102" s="11">
        <v>1.202619E7</v>
      </c>
      <c r="D102" s="13" t="s">
        <v>293</v>
      </c>
      <c r="E102" s="11" t="s">
        <v>60</v>
      </c>
      <c r="F102" s="11" t="s">
        <v>294</v>
      </c>
      <c r="G102" s="11" t="s">
        <v>295</v>
      </c>
      <c r="H102" s="11">
        <v>9.0</v>
      </c>
      <c r="I102" s="11">
        <v>8.0</v>
      </c>
      <c r="J102" s="14">
        <v>0.0</v>
      </c>
      <c r="K102" s="14">
        <v>4.0</v>
      </c>
      <c r="L102" s="14">
        <v>5.0</v>
      </c>
      <c r="M102" s="14">
        <v>4.0</v>
      </c>
      <c r="N102" s="14">
        <v>3.0</v>
      </c>
      <c r="O102" s="14">
        <v>1.0</v>
      </c>
      <c r="P102" s="14">
        <f t="shared" si="1"/>
        <v>17</v>
      </c>
      <c r="Q102" s="14">
        <v>0.0</v>
      </c>
      <c r="R102" s="14">
        <v>0.0</v>
      </c>
      <c r="S102" s="14">
        <v>0.0</v>
      </c>
      <c r="T102" s="14">
        <v>0.0</v>
      </c>
      <c r="U102" s="14">
        <f t="shared" si="2"/>
        <v>0</v>
      </c>
      <c r="V102" s="14">
        <v>0.0</v>
      </c>
      <c r="W102" s="14">
        <v>0.0</v>
      </c>
      <c r="X102" s="14">
        <v>0.0</v>
      </c>
      <c r="Y102" s="14">
        <f t="shared" si="3"/>
        <v>0</v>
      </c>
      <c r="Z102" s="14">
        <v>0.0</v>
      </c>
      <c r="AA102" s="14">
        <v>0.0</v>
      </c>
      <c r="AB102" s="11">
        <f t="shared" si="4"/>
        <v>17</v>
      </c>
    </row>
    <row r="103" ht="15.75" customHeight="1">
      <c r="A103" s="11">
        <v>27.0</v>
      </c>
      <c r="B103" s="13" t="s">
        <v>90</v>
      </c>
      <c r="C103" s="11">
        <v>1.2034398E7</v>
      </c>
      <c r="D103" s="13" t="s">
        <v>296</v>
      </c>
      <c r="E103" s="11" t="s">
        <v>91</v>
      </c>
      <c r="F103" s="11" t="s">
        <v>168</v>
      </c>
      <c r="G103" s="11" t="s">
        <v>297</v>
      </c>
      <c r="H103" s="11">
        <v>2.0</v>
      </c>
      <c r="I103" s="11">
        <v>2.0</v>
      </c>
      <c r="J103" s="14">
        <v>0.0</v>
      </c>
      <c r="K103" s="14">
        <v>0.0</v>
      </c>
      <c r="L103" s="14">
        <v>2.0</v>
      </c>
      <c r="M103" s="14">
        <v>2.0</v>
      </c>
      <c r="N103" s="14">
        <v>0.0</v>
      </c>
      <c r="O103" s="14">
        <v>0.0</v>
      </c>
      <c r="P103" s="14">
        <f t="shared" si="1"/>
        <v>4</v>
      </c>
      <c r="Q103" s="14">
        <v>0.0</v>
      </c>
      <c r="R103" s="14">
        <v>0.0</v>
      </c>
      <c r="S103" s="14">
        <v>0.0</v>
      </c>
      <c r="T103" s="14">
        <v>0.0</v>
      </c>
      <c r="U103" s="14">
        <f t="shared" si="2"/>
        <v>0</v>
      </c>
      <c r="V103" s="14">
        <v>0.0</v>
      </c>
      <c r="W103" s="14">
        <v>0.0</v>
      </c>
      <c r="X103" s="14">
        <v>0.0</v>
      </c>
      <c r="Y103" s="14">
        <f t="shared" si="3"/>
        <v>0</v>
      </c>
      <c r="Z103" s="14">
        <v>0.0</v>
      </c>
      <c r="AA103" s="14">
        <v>0.0</v>
      </c>
      <c r="AB103" s="11">
        <f t="shared" si="4"/>
        <v>4</v>
      </c>
    </row>
    <row r="104" ht="15.75" customHeight="1">
      <c r="A104" s="11">
        <v>141.0</v>
      </c>
      <c r="B104" s="13" t="s">
        <v>118</v>
      </c>
      <c r="C104" s="11">
        <v>1.2098221E7</v>
      </c>
      <c r="D104" s="13" t="s">
        <v>298</v>
      </c>
      <c r="E104" s="11" t="s">
        <v>171</v>
      </c>
      <c r="F104" s="11" t="s">
        <v>172</v>
      </c>
      <c r="G104" s="11" t="s">
        <v>299</v>
      </c>
      <c r="H104" s="11">
        <v>30.0</v>
      </c>
      <c r="I104" s="11">
        <v>27.0</v>
      </c>
      <c r="J104" s="14">
        <v>0.0</v>
      </c>
      <c r="K104" s="14">
        <v>3.0</v>
      </c>
      <c r="L104" s="14">
        <v>7.0</v>
      </c>
      <c r="M104" s="14">
        <v>6.0</v>
      </c>
      <c r="N104" s="14">
        <v>3.0</v>
      </c>
      <c r="O104" s="14">
        <v>6.0</v>
      </c>
      <c r="P104" s="14">
        <f t="shared" si="1"/>
        <v>25</v>
      </c>
      <c r="Q104" s="14">
        <v>6.0</v>
      </c>
      <c r="R104" s="14">
        <v>7.0</v>
      </c>
      <c r="S104" s="14">
        <v>3.0</v>
      </c>
      <c r="T104" s="14">
        <v>4.0</v>
      </c>
      <c r="U104" s="14">
        <f t="shared" si="2"/>
        <v>20</v>
      </c>
      <c r="V104" s="14">
        <v>6.0</v>
      </c>
      <c r="W104" s="14">
        <v>3.0</v>
      </c>
      <c r="X104" s="14">
        <v>3.0</v>
      </c>
      <c r="Y104" s="14">
        <f t="shared" si="3"/>
        <v>12</v>
      </c>
      <c r="Z104" s="14">
        <v>0.0</v>
      </c>
      <c r="AA104" s="14">
        <v>0.0</v>
      </c>
      <c r="AB104" s="11">
        <f t="shared" si="4"/>
        <v>57</v>
      </c>
    </row>
    <row r="105" ht="15.75" customHeight="1">
      <c r="A105" s="11">
        <v>94.0</v>
      </c>
      <c r="B105" s="13" t="s">
        <v>95</v>
      </c>
      <c r="C105" s="11">
        <v>1.202555E7</v>
      </c>
      <c r="D105" s="13" t="s">
        <v>300</v>
      </c>
      <c r="E105" s="11" t="s">
        <v>97</v>
      </c>
      <c r="F105" s="11" t="s">
        <v>98</v>
      </c>
      <c r="G105" s="11" t="s">
        <v>301</v>
      </c>
      <c r="H105" s="11">
        <v>2.0</v>
      </c>
      <c r="I105" s="11">
        <v>2.0</v>
      </c>
      <c r="J105" s="14">
        <v>0.0</v>
      </c>
      <c r="K105" s="14">
        <v>2.0</v>
      </c>
      <c r="L105" s="14">
        <v>0.0</v>
      </c>
      <c r="M105" s="14">
        <v>1.0</v>
      </c>
      <c r="N105" s="14">
        <v>1.0</v>
      </c>
      <c r="O105" s="14">
        <v>0.0</v>
      </c>
      <c r="P105" s="14">
        <f t="shared" si="1"/>
        <v>4</v>
      </c>
      <c r="Q105" s="14">
        <v>0.0</v>
      </c>
      <c r="R105" s="14">
        <v>0.0</v>
      </c>
      <c r="S105" s="14">
        <v>0.0</v>
      </c>
      <c r="T105" s="14">
        <v>0.0</v>
      </c>
      <c r="U105" s="14">
        <f t="shared" si="2"/>
        <v>0</v>
      </c>
      <c r="V105" s="14">
        <v>0.0</v>
      </c>
      <c r="W105" s="14">
        <v>0.0</v>
      </c>
      <c r="X105" s="14">
        <v>0.0</v>
      </c>
      <c r="Y105" s="14">
        <f t="shared" si="3"/>
        <v>0</v>
      </c>
      <c r="Z105" s="14">
        <v>0.0</v>
      </c>
      <c r="AA105" s="14">
        <v>0.0</v>
      </c>
      <c r="AB105" s="11">
        <f t="shared" si="4"/>
        <v>4</v>
      </c>
    </row>
    <row r="106" ht="15.75" customHeight="1">
      <c r="A106" s="11">
        <v>18.0</v>
      </c>
      <c r="B106" s="13" t="s">
        <v>47</v>
      </c>
      <c r="C106" s="11">
        <v>1.2026182E7</v>
      </c>
      <c r="D106" s="13" t="s">
        <v>302</v>
      </c>
      <c r="E106" s="11" t="s">
        <v>111</v>
      </c>
      <c r="F106" s="11" t="s">
        <v>112</v>
      </c>
      <c r="G106" s="11" t="s">
        <v>303</v>
      </c>
      <c r="H106" s="11">
        <v>21.0</v>
      </c>
      <c r="I106" s="11">
        <v>34.0</v>
      </c>
      <c r="J106" s="14">
        <v>14.0</v>
      </c>
      <c r="K106" s="14">
        <v>4.0</v>
      </c>
      <c r="L106" s="14">
        <v>2.0</v>
      </c>
      <c r="M106" s="14">
        <v>2.0</v>
      </c>
      <c r="N106" s="14">
        <v>8.0</v>
      </c>
      <c r="O106" s="14">
        <v>2.0</v>
      </c>
      <c r="P106" s="14">
        <f t="shared" si="1"/>
        <v>18</v>
      </c>
      <c r="Q106" s="14">
        <v>6.0</v>
      </c>
      <c r="R106" s="14">
        <v>7.0</v>
      </c>
      <c r="S106" s="14">
        <v>4.0</v>
      </c>
      <c r="T106" s="14">
        <v>6.0</v>
      </c>
      <c r="U106" s="14">
        <f t="shared" si="2"/>
        <v>23</v>
      </c>
      <c r="V106" s="14">
        <v>0.0</v>
      </c>
      <c r="W106" s="14">
        <v>0.0</v>
      </c>
      <c r="X106" s="14">
        <v>0.0</v>
      </c>
      <c r="Y106" s="14">
        <f t="shared" si="3"/>
        <v>0</v>
      </c>
      <c r="Z106" s="14">
        <v>0.0</v>
      </c>
      <c r="AA106" s="14">
        <v>0.0</v>
      </c>
      <c r="AB106" s="11">
        <f t="shared" si="4"/>
        <v>55</v>
      </c>
    </row>
    <row r="107" ht="15.75" customHeight="1">
      <c r="A107" s="11">
        <v>128.0</v>
      </c>
      <c r="B107" s="13" t="s">
        <v>118</v>
      </c>
      <c r="C107" s="11">
        <v>1.2006114E7</v>
      </c>
      <c r="D107" s="13" t="s">
        <v>304</v>
      </c>
      <c r="E107" s="11" t="s">
        <v>79</v>
      </c>
      <c r="F107" s="11" t="s">
        <v>120</v>
      </c>
      <c r="G107" s="11" t="s">
        <v>305</v>
      </c>
      <c r="H107" s="11">
        <v>7.0</v>
      </c>
      <c r="I107" s="11">
        <v>7.0</v>
      </c>
      <c r="J107" s="14">
        <v>0.0</v>
      </c>
      <c r="K107" s="14">
        <v>1.0</v>
      </c>
      <c r="L107" s="14">
        <v>0.0</v>
      </c>
      <c r="M107" s="14">
        <v>0.0</v>
      </c>
      <c r="N107" s="14">
        <v>0.0</v>
      </c>
      <c r="O107" s="14">
        <v>0.0</v>
      </c>
      <c r="P107" s="14">
        <f t="shared" si="1"/>
        <v>1</v>
      </c>
      <c r="Q107" s="14">
        <v>2.0</v>
      </c>
      <c r="R107" s="14">
        <v>1.0</v>
      </c>
      <c r="S107" s="14">
        <v>1.0</v>
      </c>
      <c r="T107" s="14">
        <v>2.0</v>
      </c>
      <c r="U107" s="14">
        <f t="shared" si="2"/>
        <v>6</v>
      </c>
      <c r="V107" s="14">
        <v>7.0</v>
      </c>
      <c r="W107" s="14">
        <v>0.0</v>
      </c>
      <c r="X107" s="14">
        <v>0.0</v>
      </c>
      <c r="Y107" s="14">
        <f t="shared" si="3"/>
        <v>7</v>
      </c>
      <c r="Z107" s="14">
        <v>0.0</v>
      </c>
      <c r="AA107" s="14">
        <v>0.0</v>
      </c>
      <c r="AB107" s="11">
        <f t="shared" si="4"/>
        <v>14</v>
      </c>
    </row>
    <row r="108" ht="15.75" customHeight="1">
      <c r="A108" s="11" t="s">
        <v>36</v>
      </c>
      <c r="B108" s="13" t="s">
        <v>118</v>
      </c>
      <c r="C108" s="11">
        <v>1.2006114E7</v>
      </c>
      <c r="D108" s="13" t="s">
        <v>306</v>
      </c>
      <c r="E108" s="11" t="s">
        <v>79</v>
      </c>
      <c r="F108" s="11" t="s">
        <v>120</v>
      </c>
      <c r="G108" s="11" t="s">
        <v>307</v>
      </c>
      <c r="H108" s="11">
        <v>10.0</v>
      </c>
      <c r="I108" s="11">
        <v>13.0</v>
      </c>
      <c r="J108" s="14">
        <v>0.0</v>
      </c>
      <c r="K108" s="14">
        <v>0.0</v>
      </c>
      <c r="L108" s="14">
        <v>10.0</v>
      </c>
      <c r="M108" s="14">
        <v>3.0</v>
      </c>
      <c r="N108" s="14">
        <v>3.0</v>
      </c>
      <c r="O108" s="14">
        <v>1.0</v>
      </c>
      <c r="P108" s="14">
        <f t="shared" si="1"/>
        <v>17</v>
      </c>
      <c r="Q108" s="14">
        <v>3.0</v>
      </c>
      <c r="R108" s="14">
        <v>0.0</v>
      </c>
      <c r="S108" s="14">
        <v>0.0</v>
      </c>
      <c r="T108" s="14">
        <v>3.0</v>
      </c>
      <c r="U108" s="14">
        <f t="shared" si="2"/>
        <v>6</v>
      </c>
      <c r="V108" s="14">
        <v>0.0</v>
      </c>
      <c r="W108" s="14">
        <v>0.0</v>
      </c>
      <c r="X108" s="14">
        <v>0.0</v>
      </c>
      <c r="Y108" s="14">
        <f t="shared" si="3"/>
        <v>0</v>
      </c>
      <c r="Z108" s="14">
        <v>0.0</v>
      </c>
      <c r="AA108" s="14">
        <v>0.0</v>
      </c>
      <c r="AB108" s="11">
        <f t="shared" si="4"/>
        <v>23</v>
      </c>
    </row>
    <row r="109" ht="15.75" customHeight="1">
      <c r="A109" s="11" t="s">
        <v>36</v>
      </c>
      <c r="B109" s="13" t="s">
        <v>118</v>
      </c>
      <c r="C109" s="11">
        <v>1.2006114E7</v>
      </c>
      <c r="D109" s="13" t="s">
        <v>308</v>
      </c>
      <c r="E109" s="11" t="s">
        <v>79</v>
      </c>
      <c r="F109" s="11" t="s">
        <v>120</v>
      </c>
      <c r="G109" s="11" t="s">
        <v>162</v>
      </c>
      <c r="H109" s="11">
        <v>5.0</v>
      </c>
      <c r="I109" s="11">
        <v>5.0</v>
      </c>
      <c r="J109" s="14">
        <v>0.0</v>
      </c>
      <c r="K109" s="14">
        <v>4.0</v>
      </c>
      <c r="L109" s="14">
        <v>0.0</v>
      </c>
      <c r="M109" s="14">
        <v>2.0</v>
      </c>
      <c r="N109" s="14">
        <v>0.0</v>
      </c>
      <c r="O109" s="14">
        <v>0.0</v>
      </c>
      <c r="P109" s="14">
        <f t="shared" si="1"/>
        <v>6</v>
      </c>
      <c r="Q109" s="14">
        <v>2.0</v>
      </c>
      <c r="R109" s="14">
        <v>0.0</v>
      </c>
      <c r="S109" s="14">
        <v>1.0</v>
      </c>
      <c r="T109" s="14">
        <v>1.0</v>
      </c>
      <c r="U109" s="14">
        <f t="shared" si="2"/>
        <v>4</v>
      </c>
      <c r="V109" s="14">
        <v>0.0</v>
      </c>
      <c r="W109" s="14">
        <v>0.0</v>
      </c>
      <c r="X109" s="14">
        <v>0.0</v>
      </c>
      <c r="Y109" s="14">
        <f t="shared" si="3"/>
        <v>0</v>
      </c>
      <c r="Z109" s="14">
        <v>0.0</v>
      </c>
      <c r="AA109" s="14">
        <v>0.0</v>
      </c>
      <c r="AB109" s="11">
        <f t="shared" si="4"/>
        <v>10</v>
      </c>
    </row>
    <row r="110" ht="15.75" customHeight="1">
      <c r="A110" s="11" t="s">
        <v>36</v>
      </c>
      <c r="B110" s="13" t="s">
        <v>118</v>
      </c>
      <c r="C110" s="11">
        <v>1.2006114E7</v>
      </c>
      <c r="D110" s="13" t="s">
        <v>309</v>
      </c>
      <c r="E110" s="11" t="s">
        <v>79</v>
      </c>
      <c r="F110" s="11" t="s">
        <v>120</v>
      </c>
      <c r="G110" s="11" t="s">
        <v>310</v>
      </c>
      <c r="H110" s="11">
        <v>11.0</v>
      </c>
      <c r="I110" s="11">
        <v>11.0</v>
      </c>
      <c r="J110" s="14">
        <v>0.0</v>
      </c>
      <c r="K110" s="14">
        <v>0.0</v>
      </c>
      <c r="L110" s="14">
        <v>1.0</v>
      </c>
      <c r="M110" s="14">
        <v>6.0</v>
      </c>
      <c r="N110" s="14">
        <v>1.0</v>
      </c>
      <c r="O110" s="14">
        <v>3.0</v>
      </c>
      <c r="P110" s="14">
        <f t="shared" si="1"/>
        <v>11</v>
      </c>
      <c r="Q110" s="14">
        <v>1.0</v>
      </c>
      <c r="R110" s="14">
        <v>3.0</v>
      </c>
      <c r="S110" s="14">
        <v>3.0</v>
      </c>
      <c r="T110" s="14">
        <v>4.0</v>
      </c>
      <c r="U110" s="14">
        <f t="shared" si="2"/>
        <v>11</v>
      </c>
      <c r="V110" s="14">
        <v>0.0</v>
      </c>
      <c r="W110" s="14">
        <v>0.0</v>
      </c>
      <c r="X110" s="14">
        <v>0.0</v>
      </c>
      <c r="Y110" s="14">
        <f t="shared" si="3"/>
        <v>0</v>
      </c>
      <c r="Z110" s="14">
        <v>0.0</v>
      </c>
      <c r="AA110" s="14">
        <v>0.0</v>
      </c>
      <c r="AB110" s="11">
        <f t="shared" si="4"/>
        <v>22</v>
      </c>
    </row>
    <row r="111" ht="15.75" customHeight="1">
      <c r="A111" s="11">
        <v>100.0</v>
      </c>
      <c r="B111" s="13" t="s">
        <v>129</v>
      </c>
      <c r="C111" s="11">
        <v>1.2007145E7</v>
      </c>
      <c r="D111" s="13" t="s">
        <v>311</v>
      </c>
      <c r="E111" s="11" t="s">
        <v>79</v>
      </c>
      <c r="F111" s="11" t="s">
        <v>93</v>
      </c>
      <c r="G111" s="11" t="s">
        <v>312</v>
      </c>
      <c r="H111" s="11">
        <v>12.0</v>
      </c>
      <c r="I111" s="11">
        <v>16.0</v>
      </c>
      <c r="J111" s="14">
        <v>0.0</v>
      </c>
      <c r="K111" s="14">
        <v>3.0</v>
      </c>
      <c r="L111" s="14">
        <v>2.0</v>
      </c>
      <c r="M111" s="14">
        <v>4.0</v>
      </c>
      <c r="N111" s="14">
        <v>0.0</v>
      </c>
      <c r="O111" s="14">
        <v>4.0</v>
      </c>
      <c r="P111" s="14">
        <f t="shared" si="1"/>
        <v>13</v>
      </c>
      <c r="Q111" s="14">
        <v>0.0</v>
      </c>
      <c r="R111" s="14">
        <v>0.0</v>
      </c>
      <c r="S111" s="14">
        <v>0.0</v>
      </c>
      <c r="T111" s="14">
        <v>0.0</v>
      </c>
      <c r="U111" s="14">
        <f t="shared" si="2"/>
        <v>0</v>
      </c>
      <c r="V111" s="14">
        <v>2.0</v>
      </c>
      <c r="W111" s="14">
        <v>6.0</v>
      </c>
      <c r="X111" s="14">
        <v>7.0</v>
      </c>
      <c r="Y111" s="14">
        <f t="shared" si="3"/>
        <v>15</v>
      </c>
      <c r="Z111" s="14">
        <v>0.0</v>
      </c>
      <c r="AA111" s="14">
        <v>0.0</v>
      </c>
      <c r="AB111" s="11">
        <f t="shared" si="4"/>
        <v>28</v>
      </c>
    </row>
    <row r="112" ht="15.75" customHeight="1">
      <c r="A112" s="11">
        <v>1.0</v>
      </c>
      <c r="B112" s="13" t="s">
        <v>47</v>
      </c>
      <c r="C112" s="11">
        <v>1.203303E7</v>
      </c>
      <c r="D112" s="13" t="s">
        <v>313</v>
      </c>
      <c r="E112" s="11" t="s">
        <v>60</v>
      </c>
      <c r="F112" s="11" t="s">
        <v>180</v>
      </c>
      <c r="G112" s="11" t="s">
        <v>314</v>
      </c>
      <c r="H112" s="11">
        <v>7.0</v>
      </c>
      <c r="I112" s="11">
        <v>4.0</v>
      </c>
      <c r="J112" s="14">
        <v>0.0</v>
      </c>
      <c r="K112" s="14">
        <v>0.0</v>
      </c>
      <c r="L112" s="14">
        <v>2.0</v>
      </c>
      <c r="M112" s="14">
        <v>3.0</v>
      </c>
      <c r="N112" s="14">
        <v>0.0</v>
      </c>
      <c r="O112" s="14">
        <v>6.0</v>
      </c>
      <c r="P112" s="14">
        <f t="shared" si="1"/>
        <v>11</v>
      </c>
      <c r="Q112" s="14">
        <v>0.0</v>
      </c>
      <c r="R112" s="14">
        <v>0.0</v>
      </c>
      <c r="S112" s="14">
        <v>0.0</v>
      </c>
      <c r="T112" s="14">
        <v>0.0</v>
      </c>
      <c r="U112" s="14">
        <f t="shared" si="2"/>
        <v>0</v>
      </c>
      <c r="V112" s="14">
        <v>0.0</v>
      </c>
      <c r="W112" s="14">
        <v>0.0</v>
      </c>
      <c r="X112" s="14">
        <v>0.0</v>
      </c>
      <c r="Y112" s="14">
        <f t="shared" si="3"/>
        <v>0</v>
      </c>
      <c r="Z112" s="14">
        <v>0.0</v>
      </c>
      <c r="AA112" s="14">
        <v>0.0</v>
      </c>
      <c r="AB112" s="11">
        <f t="shared" si="4"/>
        <v>11</v>
      </c>
    </row>
    <row r="113" ht="15.75" customHeight="1">
      <c r="A113" s="11">
        <v>102.0</v>
      </c>
      <c r="B113" s="13" t="s">
        <v>129</v>
      </c>
      <c r="C113" s="11">
        <v>1.203326E7</v>
      </c>
      <c r="D113" s="13" t="s">
        <v>315</v>
      </c>
      <c r="E113" s="11" t="s">
        <v>79</v>
      </c>
      <c r="F113" s="11" t="s">
        <v>93</v>
      </c>
      <c r="G113" s="11" t="s">
        <v>316</v>
      </c>
      <c r="H113" s="11">
        <v>16.0</v>
      </c>
      <c r="I113" s="11">
        <v>17.0</v>
      </c>
      <c r="J113" s="14">
        <v>0.0</v>
      </c>
      <c r="K113" s="14">
        <v>0.0</v>
      </c>
      <c r="L113" s="14">
        <v>0.0</v>
      </c>
      <c r="M113" s="14">
        <v>0.0</v>
      </c>
      <c r="N113" s="14">
        <v>0.0</v>
      </c>
      <c r="O113" s="14">
        <v>0.0</v>
      </c>
      <c r="P113" s="14">
        <f t="shared" si="1"/>
        <v>0</v>
      </c>
      <c r="Q113" s="14">
        <v>0.0</v>
      </c>
      <c r="R113" s="14">
        <v>0.0</v>
      </c>
      <c r="S113" s="14">
        <v>0.0</v>
      </c>
      <c r="T113" s="14">
        <v>0.0</v>
      </c>
      <c r="U113" s="14">
        <f t="shared" si="2"/>
        <v>0</v>
      </c>
      <c r="V113" s="14">
        <v>8.0</v>
      </c>
      <c r="W113" s="14">
        <v>9.0</v>
      </c>
      <c r="X113" s="14">
        <v>16.0</v>
      </c>
      <c r="Y113" s="14">
        <f t="shared" si="3"/>
        <v>33</v>
      </c>
      <c r="Z113" s="14">
        <v>0.0</v>
      </c>
      <c r="AA113" s="14">
        <v>0.0</v>
      </c>
      <c r="AB113" s="11">
        <f t="shared" si="4"/>
        <v>33</v>
      </c>
    </row>
    <row r="114" ht="15.75" customHeight="1">
      <c r="A114" s="11">
        <v>135.0</v>
      </c>
      <c r="B114" s="13" t="s">
        <v>118</v>
      </c>
      <c r="C114" s="11">
        <v>1.2111228E7</v>
      </c>
      <c r="D114" s="13" t="s">
        <v>317</v>
      </c>
      <c r="E114" s="11" t="s">
        <v>91</v>
      </c>
      <c r="F114" s="11" t="s">
        <v>318</v>
      </c>
      <c r="G114" s="11" t="s">
        <v>319</v>
      </c>
      <c r="H114" s="11">
        <v>25.0</v>
      </c>
      <c r="I114" s="11">
        <v>28.0</v>
      </c>
      <c r="J114" s="14">
        <v>0.0</v>
      </c>
      <c r="K114" s="14">
        <v>1.0</v>
      </c>
      <c r="L114" s="14">
        <v>39.0</v>
      </c>
      <c r="M114" s="14">
        <v>3.0</v>
      </c>
      <c r="N114" s="14">
        <v>1.0</v>
      </c>
      <c r="O114" s="14">
        <v>2.0</v>
      </c>
      <c r="P114" s="14">
        <f t="shared" si="1"/>
        <v>46</v>
      </c>
      <c r="Q114" s="14">
        <v>3.0</v>
      </c>
      <c r="R114" s="14">
        <v>1.0</v>
      </c>
      <c r="S114" s="14">
        <v>3.0</v>
      </c>
      <c r="T114" s="14">
        <v>0.0</v>
      </c>
      <c r="U114" s="14">
        <f t="shared" si="2"/>
        <v>7</v>
      </c>
      <c r="V114" s="14">
        <v>0.0</v>
      </c>
      <c r="W114" s="14">
        <v>0.0</v>
      </c>
      <c r="X114" s="14">
        <v>0.0</v>
      </c>
      <c r="Y114" s="14">
        <f t="shared" si="3"/>
        <v>0</v>
      </c>
      <c r="Z114" s="14">
        <v>0.0</v>
      </c>
      <c r="AA114" s="14">
        <v>0.0</v>
      </c>
      <c r="AB114" s="11">
        <f t="shared" si="4"/>
        <v>53</v>
      </c>
    </row>
    <row r="115" ht="15.75" customHeight="1">
      <c r="A115" s="11">
        <v>85.0</v>
      </c>
      <c r="B115" s="13" t="s">
        <v>64</v>
      </c>
      <c r="C115" s="11">
        <v>1.2027421E7</v>
      </c>
      <c r="D115" s="13" t="s">
        <v>320</v>
      </c>
      <c r="E115" s="11" t="s">
        <v>51</v>
      </c>
      <c r="F115" s="11" t="s">
        <v>93</v>
      </c>
      <c r="G115" s="11" t="s">
        <v>321</v>
      </c>
      <c r="H115" s="11">
        <v>8.0</v>
      </c>
      <c r="I115" s="11">
        <v>11.0</v>
      </c>
      <c r="J115" s="14">
        <v>0.0</v>
      </c>
      <c r="K115" s="14">
        <v>2.0</v>
      </c>
      <c r="L115" s="14">
        <v>11.0</v>
      </c>
      <c r="M115" s="14">
        <v>1.0</v>
      </c>
      <c r="N115" s="14">
        <v>1.0</v>
      </c>
      <c r="O115" s="14">
        <v>4.0</v>
      </c>
      <c r="P115" s="14">
        <f t="shared" si="1"/>
        <v>19</v>
      </c>
      <c r="Q115" s="14">
        <v>0.0</v>
      </c>
      <c r="R115" s="14">
        <v>0.0</v>
      </c>
      <c r="S115" s="14">
        <v>0.0</v>
      </c>
      <c r="T115" s="14">
        <v>0.0</v>
      </c>
      <c r="U115" s="14">
        <f t="shared" si="2"/>
        <v>0</v>
      </c>
      <c r="V115" s="14">
        <v>0.0</v>
      </c>
      <c r="W115" s="14">
        <v>0.0</v>
      </c>
      <c r="X115" s="14">
        <v>0.0</v>
      </c>
      <c r="Y115" s="14">
        <f t="shared" si="3"/>
        <v>0</v>
      </c>
      <c r="Z115" s="14">
        <v>0.0</v>
      </c>
      <c r="AA115" s="14">
        <v>0.0</v>
      </c>
      <c r="AB115" s="11">
        <f t="shared" si="4"/>
        <v>19</v>
      </c>
    </row>
    <row r="116" ht="15.75" customHeight="1">
      <c r="A116" s="11">
        <v>61.0</v>
      </c>
      <c r="B116" s="13" t="s">
        <v>49</v>
      </c>
      <c r="C116" s="11">
        <v>1.2004472E7</v>
      </c>
      <c r="D116" s="13" t="s">
        <v>322</v>
      </c>
      <c r="E116" s="11" t="s">
        <v>87</v>
      </c>
      <c r="F116" s="11" t="s">
        <v>88</v>
      </c>
      <c r="G116" s="11" t="s">
        <v>323</v>
      </c>
      <c r="H116" s="11">
        <v>31.0</v>
      </c>
      <c r="I116" s="11">
        <v>29.0</v>
      </c>
      <c r="J116" s="14">
        <v>0.0</v>
      </c>
      <c r="K116" s="14">
        <v>6.0</v>
      </c>
      <c r="L116" s="14">
        <v>4.0</v>
      </c>
      <c r="M116" s="14">
        <v>3.0</v>
      </c>
      <c r="N116" s="14">
        <v>1.0</v>
      </c>
      <c r="O116" s="14">
        <v>4.0</v>
      </c>
      <c r="P116" s="14">
        <f t="shared" si="1"/>
        <v>18</v>
      </c>
      <c r="Q116" s="14">
        <v>10.0</v>
      </c>
      <c r="R116" s="14">
        <v>10.0</v>
      </c>
      <c r="S116" s="14">
        <v>0.0</v>
      </c>
      <c r="T116" s="14">
        <v>6.0</v>
      </c>
      <c r="U116" s="14">
        <f t="shared" si="2"/>
        <v>26</v>
      </c>
      <c r="V116" s="14">
        <v>4.0</v>
      </c>
      <c r="W116" s="14">
        <v>7.0</v>
      </c>
      <c r="X116" s="14">
        <v>5.0</v>
      </c>
      <c r="Y116" s="14">
        <f t="shared" si="3"/>
        <v>16</v>
      </c>
      <c r="Z116" s="14">
        <v>0.0</v>
      </c>
      <c r="AA116" s="14">
        <v>0.0</v>
      </c>
      <c r="AB116" s="11">
        <f t="shared" si="4"/>
        <v>60</v>
      </c>
    </row>
    <row r="117" ht="15.75" customHeight="1">
      <c r="A117" s="11">
        <v>81.0</v>
      </c>
      <c r="B117" s="13" t="s">
        <v>35</v>
      </c>
      <c r="C117" s="11">
        <v>1.2002275E7</v>
      </c>
      <c r="D117" s="13" t="s">
        <v>324</v>
      </c>
      <c r="E117" s="11" t="s">
        <v>175</v>
      </c>
      <c r="F117" s="11" t="s">
        <v>175</v>
      </c>
      <c r="G117" s="11" t="s">
        <v>325</v>
      </c>
      <c r="H117" s="11">
        <v>68.0</v>
      </c>
      <c r="I117" s="11">
        <v>50.0</v>
      </c>
      <c r="J117" s="14">
        <v>13.0</v>
      </c>
      <c r="K117" s="14">
        <v>8.0</v>
      </c>
      <c r="L117" s="14">
        <v>6.0</v>
      </c>
      <c r="M117" s="14">
        <v>5.0</v>
      </c>
      <c r="N117" s="14">
        <v>9.0</v>
      </c>
      <c r="O117" s="14">
        <v>6.0</v>
      </c>
      <c r="P117" s="14">
        <f t="shared" si="1"/>
        <v>34</v>
      </c>
      <c r="Q117" s="14">
        <v>13.0</v>
      </c>
      <c r="R117" s="14">
        <v>9.0</v>
      </c>
      <c r="S117" s="14">
        <v>9.0</v>
      </c>
      <c r="T117" s="14">
        <v>9.0</v>
      </c>
      <c r="U117" s="14">
        <f t="shared" si="2"/>
        <v>40</v>
      </c>
      <c r="V117" s="14">
        <v>7.0</v>
      </c>
      <c r="W117" s="14">
        <v>11.0</v>
      </c>
      <c r="X117" s="14">
        <v>11.0</v>
      </c>
      <c r="Y117" s="14">
        <f t="shared" si="3"/>
        <v>29</v>
      </c>
      <c r="Z117" s="14">
        <v>0.0</v>
      </c>
      <c r="AA117" s="14">
        <v>2.0</v>
      </c>
      <c r="AB117" s="11">
        <f t="shared" si="4"/>
        <v>118</v>
      </c>
    </row>
    <row r="118" ht="15.75" customHeight="1">
      <c r="A118" s="11">
        <v>28.0</v>
      </c>
      <c r="B118" s="13" t="s">
        <v>90</v>
      </c>
      <c r="C118" s="11">
        <v>1.2030031E7</v>
      </c>
      <c r="D118" s="13" t="s">
        <v>326</v>
      </c>
      <c r="E118" s="11" t="s">
        <v>91</v>
      </c>
      <c r="F118" s="11" t="s">
        <v>168</v>
      </c>
      <c r="G118" s="11" t="s">
        <v>327</v>
      </c>
      <c r="H118" s="11">
        <v>4.0</v>
      </c>
      <c r="I118" s="11">
        <v>6.0</v>
      </c>
      <c r="J118" s="14">
        <v>0.0</v>
      </c>
      <c r="K118" s="14">
        <v>1.0</v>
      </c>
      <c r="L118" s="14">
        <v>3.0</v>
      </c>
      <c r="M118" s="14">
        <v>6.0</v>
      </c>
      <c r="N118" s="14">
        <v>0.0</v>
      </c>
      <c r="O118" s="14">
        <v>0.0</v>
      </c>
      <c r="P118" s="14">
        <f t="shared" si="1"/>
        <v>10</v>
      </c>
      <c r="Q118" s="14">
        <v>0.0</v>
      </c>
      <c r="R118" s="14">
        <v>0.0</v>
      </c>
      <c r="S118" s="14">
        <v>0.0</v>
      </c>
      <c r="T118" s="14">
        <v>0.0</v>
      </c>
      <c r="U118" s="14">
        <f t="shared" si="2"/>
        <v>0</v>
      </c>
      <c r="V118" s="14">
        <v>0.0</v>
      </c>
      <c r="W118" s="14">
        <v>0.0</v>
      </c>
      <c r="X118" s="14">
        <v>0.0</v>
      </c>
      <c r="Y118" s="14">
        <f t="shared" si="3"/>
        <v>0</v>
      </c>
      <c r="Z118" s="14">
        <v>0.0</v>
      </c>
      <c r="AA118" s="14">
        <v>0.0</v>
      </c>
      <c r="AB118" s="11">
        <f t="shared" si="4"/>
        <v>10</v>
      </c>
    </row>
    <row r="119" ht="15.75" customHeight="1">
      <c r="A119" s="11">
        <v>113.0</v>
      </c>
      <c r="B119" s="13" t="s">
        <v>59</v>
      </c>
      <c r="C119" s="11">
        <v>1.2022802E7</v>
      </c>
      <c r="D119" s="13" t="s">
        <v>328</v>
      </c>
      <c r="E119" s="11" t="s">
        <v>60</v>
      </c>
      <c r="F119" s="11" t="s">
        <v>294</v>
      </c>
      <c r="G119" s="11" t="s">
        <v>329</v>
      </c>
      <c r="H119" s="11">
        <v>7.0</v>
      </c>
      <c r="I119" s="11">
        <v>3.0</v>
      </c>
      <c r="J119" s="14">
        <v>0.0</v>
      </c>
      <c r="K119" s="14">
        <v>2.0</v>
      </c>
      <c r="L119" s="14">
        <v>2.0</v>
      </c>
      <c r="M119" s="14">
        <v>0.0</v>
      </c>
      <c r="N119" s="14">
        <v>3.0</v>
      </c>
      <c r="O119" s="14">
        <v>3.0</v>
      </c>
      <c r="P119" s="14">
        <f t="shared" si="1"/>
        <v>10</v>
      </c>
      <c r="Q119" s="14">
        <v>0.0</v>
      </c>
      <c r="R119" s="14">
        <v>0.0</v>
      </c>
      <c r="S119" s="14">
        <v>0.0</v>
      </c>
      <c r="T119" s="14">
        <v>0.0</v>
      </c>
      <c r="U119" s="14">
        <f t="shared" si="2"/>
        <v>0</v>
      </c>
      <c r="V119" s="14">
        <v>0.0</v>
      </c>
      <c r="W119" s="14">
        <v>0.0</v>
      </c>
      <c r="X119" s="14">
        <v>0.0</v>
      </c>
      <c r="Y119" s="14">
        <f t="shared" si="3"/>
        <v>0</v>
      </c>
      <c r="Z119" s="14">
        <v>0.0</v>
      </c>
      <c r="AA119" s="14">
        <v>0.0</v>
      </c>
      <c r="AB119" s="11">
        <f t="shared" si="4"/>
        <v>10</v>
      </c>
    </row>
    <row r="120" ht="15.75" customHeight="1">
      <c r="A120" s="11">
        <v>62.0</v>
      </c>
      <c r="B120" s="13" t="s">
        <v>49</v>
      </c>
      <c r="C120" s="11">
        <v>1.2130222E7</v>
      </c>
      <c r="D120" s="13" t="s">
        <v>330</v>
      </c>
      <c r="E120" s="11" t="s">
        <v>87</v>
      </c>
      <c r="F120" s="11" t="s">
        <v>88</v>
      </c>
      <c r="G120" s="11" t="s">
        <v>331</v>
      </c>
      <c r="H120" s="11">
        <v>8.0</v>
      </c>
      <c r="I120" s="11">
        <v>4.0</v>
      </c>
      <c r="J120" s="14">
        <v>0.0</v>
      </c>
      <c r="K120" s="14">
        <v>0.0</v>
      </c>
      <c r="L120" s="14">
        <v>1.0</v>
      </c>
      <c r="M120" s="14">
        <v>1.0</v>
      </c>
      <c r="N120" s="14">
        <v>2.0</v>
      </c>
      <c r="O120" s="14">
        <v>0.0</v>
      </c>
      <c r="P120" s="14">
        <f t="shared" si="1"/>
        <v>4</v>
      </c>
      <c r="Q120" s="14">
        <v>2.0</v>
      </c>
      <c r="R120" s="14">
        <v>3.0</v>
      </c>
      <c r="S120" s="14">
        <v>2.0</v>
      </c>
      <c r="T120" s="14">
        <v>1.0</v>
      </c>
      <c r="U120" s="14">
        <f t="shared" si="2"/>
        <v>8</v>
      </c>
      <c r="V120" s="14">
        <v>0.0</v>
      </c>
      <c r="W120" s="14">
        <v>0.0</v>
      </c>
      <c r="X120" s="14">
        <v>0.0</v>
      </c>
      <c r="Y120" s="14">
        <f t="shared" si="3"/>
        <v>0</v>
      </c>
      <c r="Z120" s="14">
        <v>0.0</v>
      </c>
      <c r="AA120" s="14">
        <v>0.0</v>
      </c>
      <c r="AB120" s="11">
        <f t="shared" si="4"/>
        <v>12</v>
      </c>
    </row>
    <row r="121" ht="15.75" customHeight="1">
      <c r="A121" s="11">
        <v>29.0</v>
      </c>
      <c r="B121" s="13" t="s">
        <v>90</v>
      </c>
      <c r="C121" s="11">
        <v>1.203438E7</v>
      </c>
      <c r="D121" s="13" t="s">
        <v>332</v>
      </c>
      <c r="E121" s="11" t="s">
        <v>91</v>
      </c>
      <c r="F121" s="11" t="s">
        <v>168</v>
      </c>
      <c r="G121" s="11" t="s">
        <v>333</v>
      </c>
      <c r="H121" s="11">
        <v>4.0</v>
      </c>
      <c r="I121" s="11">
        <v>1.0</v>
      </c>
      <c r="J121" s="14">
        <v>0.0</v>
      </c>
      <c r="K121" s="14">
        <v>1.0</v>
      </c>
      <c r="L121" s="14">
        <v>2.0</v>
      </c>
      <c r="M121" s="14">
        <v>2.0</v>
      </c>
      <c r="N121" s="14">
        <v>0.0</v>
      </c>
      <c r="O121" s="14">
        <v>0.0</v>
      </c>
      <c r="P121" s="14">
        <f t="shared" si="1"/>
        <v>5</v>
      </c>
      <c r="Q121" s="14">
        <v>0.0</v>
      </c>
      <c r="R121" s="14">
        <v>0.0</v>
      </c>
      <c r="S121" s="14">
        <v>0.0</v>
      </c>
      <c r="T121" s="14">
        <v>0.0</v>
      </c>
      <c r="U121" s="14">
        <f t="shared" si="2"/>
        <v>0</v>
      </c>
      <c r="V121" s="14">
        <v>0.0</v>
      </c>
      <c r="W121" s="14">
        <v>0.0</v>
      </c>
      <c r="X121" s="14">
        <v>0.0</v>
      </c>
      <c r="Y121" s="14">
        <f t="shared" si="3"/>
        <v>0</v>
      </c>
      <c r="Z121" s="14">
        <v>0.0</v>
      </c>
      <c r="AA121" s="14">
        <v>0.0</v>
      </c>
      <c r="AB121" s="11">
        <f t="shared" si="4"/>
        <v>5</v>
      </c>
    </row>
    <row r="122" ht="15.75" customHeight="1">
      <c r="A122" s="11">
        <v>2.0</v>
      </c>
      <c r="B122" s="13" t="s">
        <v>47</v>
      </c>
      <c r="C122" s="11">
        <v>1.2029289E7</v>
      </c>
      <c r="D122" s="13" t="s">
        <v>334</v>
      </c>
      <c r="E122" s="11" t="s">
        <v>60</v>
      </c>
      <c r="F122" s="11" t="s">
        <v>180</v>
      </c>
      <c r="G122" s="11" t="s">
        <v>335</v>
      </c>
      <c r="H122" s="11">
        <v>16.0</v>
      </c>
      <c r="I122" s="11">
        <v>8.0</v>
      </c>
      <c r="J122" s="14">
        <v>0.0</v>
      </c>
      <c r="K122" s="14">
        <v>1.0</v>
      </c>
      <c r="L122" s="14">
        <v>3.0</v>
      </c>
      <c r="M122" s="14">
        <v>5.0</v>
      </c>
      <c r="N122" s="14">
        <v>3.0</v>
      </c>
      <c r="O122" s="14">
        <v>1.0</v>
      </c>
      <c r="P122" s="14">
        <f t="shared" si="1"/>
        <v>13</v>
      </c>
      <c r="Q122" s="14">
        <v>4.0</v>
      </c>
      <c r="R122" s="14">
        <v>6.0</v>
      </c>
      <c r="S122" s="14">
        <v>0.0</v>
      </c>
      <c r="T122" s="14">
        <v>1.0</v>
      </c>
      <c r="U122" s="14">
        <f t="shared" si="2"/>
        <v>11</v>
      </c>
      <c r="V122" s="14">
        <v>0.0</v>
      </c>
      <c r="W122" s="14">
        <v>0.0</v>
      </c>
      <c r="X122" s="14">
        <v>0.0</v>
      </c>
      <c r="Y122" s="14">
        <f t="shared" si="3"/>
        <v>0</v>
      </c>
      <c r="Z122" s="14">
        <v>0.0</v>
      </c>
      <c r="AA122" s="14">
        <v>0.0</v>
      </c>
      <c r="AB122" s="11">
        <f t="shared" si="4"/>
        <v>24</v>
      </c>
    </row>
    <row r="123" ht="15.75" customHeight="1">
      <c r="A123" s="11">
        <v>19.0</v>
      </c>
      <c r="B123" s="13" t="s">
        <v>47</v>
      </c>
      <c r="C123" s="11">
        <v>1.2027464E7</v>
      </c>
      <c r="D123" s="13" t="s">
        <v>336</v>
      </c>
      <c r="E123" s="11" t="s">
        <v>111</v>
      </c>
      <c r="F123" s="11" t="s">
        <v>112</v>
      </c>
      <c r="G123" s="11" t="s">
        <v>337</v>
      </c>
      <c r="H123" s="11">
        <v>32.0</v>
      </c>
      <c r="I123" s="11">
        <v>25.0</v>
      </c>
      <c r="J123" s="14">
        <v>13.0</v>
      </c>
      <c r="K123" s="14">
        <v>2.0</v>
      </c>
      <c r="L123" s="14">
        <v>5.0</v>
      </c>
      <c r="M123" s="14">
        <v>3.0</v>
      </c>
      <c r="N123" s="14">
        <v>7.0</v>
      </c>
      <c r="O123" s="14">
        <v>7.0</v>
      </c>
      <c r="P123" s="14">
        <f t="shared" si="1"/>
        <v>24</v>
      </c>
      <c r="Q123" s="14">
        <v>5.0</v>
      </c>
      <c r="R123" s="14">
        <v>8.0</v>
      </c>
      <c r="S123" s="14">
        <v>5.0</v>
      </c>
      <c r="T123" s="14">
        <v>2.0</v>
      </c>
      <c r="U123" s="14">
        <f t="shared" si="2"/>
        <v>20</v>
      </c>
      <c r="V123" s="14">
        <v>0.0</v>
      </c>
      <c r="W123" s="14">
        <v>0.0</v>
      </c>
      <c r="X123" s="14">
        <v>0.0</v>
      </c>
      <c r="Y123" s="14">
        <f t="shared" si="3"/>
        <v>0</v>
      </c>
      <c r="Z123" s="14">
        <v>0.0</v>
      </c>
      <c r="AA123" s="14">
        <v>0.0</v>
      </c>
      <c r="AB123" s="11">
        <f t="shared" si="4"/>
        <v>57</v>
      </c>
    </row>
    <row r="124" ht="15.75" customHeight="1">
      <c r="A124" s="11">
        <v>54.0</v>
      </c>
      <c r="B124" s="13" t="s">
        <v>49</v>
      </c>
      <c r="C124" s="11">
        <v>1.200479E7</v>
      </c>
      <c r="D124" s="13" t="s">
        <v>338</v>
      </c>
      <c r="E124" s="11" t="s">
        <v>79</v>
      </c>
      <c r="F124" s="11" t="s">
        <v>88</v>
      </c>
      <c r="G124" s="11" t="s">
        <v>339</v>
      </c>
      <c r="H124" s="11">
        <v>17.0</v>
      </c>
      <c r="I124" s="11">
        <v>29.0</v>
      </c>
      <c r="J124" s="14">
        <v>0.0</v>
      </c>
      <c r="K124" s="14">
        <v>4.0</v>
      </c>
      <c r="L124" s="14">
        <v>5.0</v>
      </c>
      <c r="M124" s="14">
        <v>6.0</v>
      </c>
      <c r="N124" s="14">
        <v>4.0</v>
      </c>
      <c r="O124" s="14">
        <v>7.0</v>
      </c>
      <c r="P124" s="14">
        <f t="shared" si="1"/>
        <v>26</v>
      </c>
      <c r="Q124" s="14">
        <v>2.0</v>
      </c>
      <c r="R124" s="14">
        <v>4.0</v>
      </c>
      <c r="S124" s="14">
        <v>10.0</v>
      </c>
      <c r="T124" s="14">
        <v>4.0</v>
      </c>
      <c r="U124" s="14">
        <f t="shared" si="2"/>
        <v>20</v>
      </c>
      <c r="V124" s="14">
        <v>0.0</v>
      </c>
      <c r="W124" s="14">
        <v>0.0</v>
      </c>
      <c r="X124" s="14">
        <v>0.0</v>
      </c>
      <c r="Y124" s="14">
        <f t="shared" si="3"/>
        <v>0</v>
      </c>
      <c r="Z124" s="14">
        <v>0.0</v>
      </c>
      <c r="AA124" s="14">
        <v>0.0</v>
      </c>
      <c r="AB124" s="11">
        <f t="shared" si="4"/>
        <v>46</v>
      </c>
    </row>
    <row r="125" ht="15.75" customHeight="1">
      <c r="A125" s="11">
        <v>105.0</v>
      </c>
      <c r="B125" s="13" t="s">
        <v>129</v>
      </c>
      <c r="C125" s="11">
        <v>1.2028487E7</v>
      </c>
      <c r="D125" s="13" t="s">
        <v>340</v>
      </c>
      <c r="E125" s="11" t="s">
        <v>79</v>
      </c>
      <c r="F125" s="11" t="s">
        <v>93</v>
      </c>
      <c r="G125" s="11" t="s">
        <v>288</v>
      </c>
      <c r="H125" s="11">
        <v>2.0</v>
      </c>
      <c r="I125" s="11">
        <v>5.0</v>
      </c>
      <c r="J125" s="14">
        <v>0.0</v>
      </c>
      <c r="K125" s="14">
        <v>0.0</v>
      </c>
      <c r="L125" s="14">
        <v>2.0</v>
      </c>
      <c r="M125" s="14">
        <v>0.0</v>
      </c>
      <c r="N125" s="14">
        <v>2.0</v>
      </c>
      <c r="O125" s="14">
        <v>3.0</v>
      </c>
      <c r="P125" s="14">
        <f t="shared" si="1"/>
        <v>7</v>
      </c>
      <c r="Q125" s="14">
        <v>0.0</v>
      </c>
      <c r="R125" s="14">
        <v>0.0</v>
      </c>
      <c r="S125" s="14">
        <v>0.0</v>
      </c>
      <c r="T125" s="14">
        <v>0.0</v>
      </c>
      <c r="U125" s="14">
        <f t="shared" si="2"/>
        <v>0</v>
      </c>
      <c r="V125" s="14">
        <v>0.0</v>
      </c>
      <c r="W125" s="14">
        <v>0.0</v>
      </c>
      <c r="X125" s="14">
        <v>0.0</v>
      </c>
      <c r="Y125" s="14">
        <f t="shared" si="3"/>
        <v>0</v>
      </c>
      <c r="Z125" s="14">
        <v>0.0</v>
      </c>
      <c r="AA125" s="14">
        <v>0.0</v>
      </c>
      <c r="AB125" s="11">
        <f t="shared" si="4"/>
        <v>7</v>
      </c>
    </row>
    <row r="126" ht="15.75" customHeight="1">
      <c r="A126" s="11">
        <v>49.0</v>
      </c>
      <c r="B126" s="13" t="s">
        <v>49</v>
      </c>
      <c r="C126" s="11">
        <v>1.200426E7</v>
      </c>
      <c r="D126" s="13" t="s">
        <v>341</v>
      </c>
      <c r="E126" s="11" t="s">
        <v>79</v>
      </c>
      <c r="F126" s="11" t="s">
        <v>197</v>
      </c>
      <c r="G126" s="11" t="s">
        <v>342</v>
      </c>
      <c r="H126" s="11">
        <v>41.0</v>
      </c>
      <c r="I126" s="11">
        <v>30.0</v>
      </c>
      <c r="J126" s="14">
        <v>0.0</v>
      </c>
      <c r="K126" s="14">
        <v>7.0</v>
      </c>
      <c r="L126" s="14">
        <v>4.0</v>
      </c>
      <c r="M126" s="14">
        <v>4.0</v>
      </c>
      <c r="N126" s="14">
        <v>8.0</v>
      </c>
      <c r="O126" s="14">
        <v>7.0</v>
      </c>
      <c r="P126" s="14">
        <f t="shared" si="1"/>
        <v>30</v>
      </c>
      <c r="Q126" s="14">
        <v>11.0</v>
      </c>
      <c r="R126" s="14">
        <v>5.0</v>
      </c>
      <c r="S126" s="14">
        <v>9.0</v>
      </c>
      <c r="T126" s="14">
        <v>8.0</v>
      </c>
      <c r="U126" s="14">
        <f t="shared" si="2"/>
        <v>33</v>
      </c>
      <c r="V126" s="14">
        <v>3.0</v>
      </c>
      <c r="W126" s="14">
        <v>3.0</v>
      </c>
      <c r="X126" s="14">
        <v>2.0</v>
      </c>
      <c r="Y126" s="14">
        <f t="shared" si="3"/>
        <v>8</v>
      </c>
      <c r="Z126" s="14">
        <v>0.0</v>
      </c>
      <c r="AA126" s="14">
        <v>0.0</v>
      </c>
      <c r="AB126" s="11">
        <f t="shared" si="4"/>
        <v>71</v>
      </c>
    </row>
    <row r="127" ht="15.75" customHeight="1">
      <c r="A127" s="11">
        <v>108.0</v>
      </c>
      <c r="B127" s="13" t="s">
        <v>129</v>
      </c>
      <c r="C127" s="11">
        <v>1.2019275E7</v>
      </c>
      <c r="D127" s="13" t="s">
        <v>343</v>
      </c>
      <c r="E127" s="11" t="s">
        <v>51</v>
      </c>
      <c r="F127" s="11" t="s">
        <v>93</v>
      </c>
      <c r="G127" s="11" t="s">
        <v>344</v>
      </c>
      <c r="H127" s="11">
        <v>1.0</v>
      </c>
      <c r="I127" s="11">
        <v>4.0</v>
      </c>
      <c r="J127" s="14">
        <v>0.0</v>
      </c>
      <c r="K127" s="14">
        <v>0.0</v>
      </c>
      <c r="L127" s="14">
        <v>0.0</v>
      </c>
      <c r="M127" s="14">
        <v>0.0</v>
      </c>
      <c r="N127" s="14">
        <v>4.0</v>
      </c>
      <c r="O127" s="14">
        <v>1.0</v>
      </c>
      <c r="P127" s="14">
        <f t="shared" si="1"/>
        <v>5</v>
      </c>
      <c r="Q127" s="14">
        <v>0.0</v>
      </c>
      <c r="R127" s="14">
        <v>0.0</v>
      </c>
      <c r="S127" s="14">
        <v>0.0</v>
      </c>
      <c r="T127" s="14">
        <v>0.0</v>
      </c>
      <c r="U127" s="14">
        <f t="shared" si="2"/>
        <v>0</v>
      </c>
      <c r="V127" s="14">
        <v>0.0</v>
      </c>
      <c r="W127" s="14">
        <v>0.0</v>
      </c>
      <c r="X127" s="14">
        <v>0.0</v>
      </c>
      <c r="Y127" s="14">
        <f t="shared" si="3"/>
        <v>0</v>
      </c>
      <c r="Z127" s="14">
        <v>0.0</v>
      </c>
      <c r="AA127" s="14">
        <v>0.0</v>
      </c>
      <c r="AB127" s="11">
        <f t="shared" si="4"/>
        <v>5</v>
      </c>
    </row>
    <row r="128" ht="15.75" customHeight="1">
      <c r="A128" s="11">
        <v>103.0</v>
      </c>
      <c r="B128" s="13" t="s">
        <v>129</v>
      </c>
      <c r="C128" s="11">
        <v>1.2033278E7</v>
      </c>
      <c r="D128" s="13" t="s">
        <v>345</v>
      </c>
      <c r="E128" s="11" t="s">
        <v>79</v>
      </c>
      <c r="F128" s="11" t="s">
        <v>93</v>
      </c>
      <c r="G128" s="11" t="s">
        <v>193</v>
      </c>
      <c r="H128" s="11">
        <v>7.0</v>
      </c>
      <c r="I128" s="11">
        <v>14.0</v>
      </c>
      <c r="J128" s="14">
        <v>0.0</v>
      </c>
      <c r="K128" s="14">
        <v>0.0</v>
      </c>
      <c r="L128" s="14">
        <v>0.0</v>
      </c>
      <c r="M128" s="14">
        <v>0.0</v>
      </c>
      <c r="N128" s="14">
        <v>0.0</v>
      </c>
      <c r="O128" s="14">
        <v>0.0</v>
      </c>
      <c r="P128" s="14">
        <f t="shared" si="1"/>
        <v>0</v>
      </c>
      <c r="Q128" s="14">
        <v>0.0</v>
      </c>
      <c r="R128" s="14">
        <v>0.0</v>
      </c>
      <c r="S128" s="14">
        <v>0.0</v>
      </c>
      <c r="T128" s="14">
        <v>0.0</v>
      </c>
      <c r="U128" s="14">
        <f t="shared" si="2"/>
        <v>0</v>
      </c>
      <c r="V128" s="14">
        <v>4.0</v>
      </c>
      <c r="W128" s="14">
        <v>10.0</v>
      </c>
      <c r="X128" s="14">
        <v>7.0</v>
      </c>
      <c r="Y128" s="14">
        <f t="shared" si="3"/>
        <v>21</v>
      </c>
      <c r="Z128" s="14">
        <v>0.0</v>
      </c>
      <c r="AA128" s="14">
        <v>0.0</v>
      </c>
      <c r="AB128" s="11">
        <f t="shared" si="4"/>
        <v>21</v>
      </c>
    </row>
    <row r="129" ht="15.75" customHeight="1">
      <c r="A129" s="11">
        <v>86.0</v>
      </c>
      <c r="B129" s="13" t="s">
        <v>64</v>
      </c>
      <c r="C129" s="11">
        <v>1.2006998E7</v>
      </c>
      <c r="D129" s="13" t="s">
        <v>346</v>
      </c>
      <c r="E129" s="11" t="s">
        <v>51</v>
      </c>
      <c r="F129" s="11" t="s">
        <v>93</v>
      </c>
      <c r="G129" s="11" t="s">
        <v>347</v>
      </c>
      <c r="H129" s="11">
        <v>20.0</v>
      </c>
      <c r="I129" s="11">
        <v>18.0</v>
      </c>
      <c r="J129" s="14">
        <v>0.0</v>
      </c>
      <c r="K129" s="14">
        <v>8.0</v>
      </c>
      <c r="L129" s="14">
        <v>2.0</v>
      </c>
      <c r="M129" s="14">
        <v>20.0</v>
      </c>
      <c r="N129" s="14">
        <v>0.0</v>
      </c>
      <c r="O129" s="14">
        <v>8.0</v>
      </c>
      <c r="P129" s="14">
        <f t="shared" si="1"/>
        <v>38</v>
      </c>
      <c r="Q129" s="14">
        <v>0.0</v>
      </c>
      <c r="R129" s="14">
        <v>0.0</v>
      </c>
      <c r="S129" s="14">
        <v>0.0</v>
      </c>
      <c r="T129" s="14">
        <v>0.0</v>
      </c>
      <c r="U129" s="14">
        <f t="shared" si="2"/>
        <v>0</v>
      </c>
      <c r="V129" s="14">
        <v>0.0</v>
      </c>
      <c r="W129" s="14">
        <v>0.0</v>
      </c>
      <c r="X129" s="14">
        <v>0.0</v>
      </c>
      <c r="Y129" s="14">
        <f t="shared" si="3"/>
        <v>0</v>
      </c>
      <c r="Z129" s="14">
        <v>0.0</v>
      </c>
      <c r="AA129" s="14">
        <v>0.0</v>
      </c>
      <c r="AB129" s="11">
        <f t="shared" si="4"/>
        <v>38</v>
      </c>
    </row>
    <row r="130" ht="15.75" customHeight="1">
      <c r="A130" s="11">
        <v>73.0</v>
      </c>
      <c r="B130" s="13" t="s">
        <v>108</v>
      </c>
      <c r="C130" s="11">
        <v>1.2029467E7</v>
      </c>
      <c r="D130" s="13" t="s">
        <v>348</v>
      </c>
      <c r="E130" s="11" t="s">
        <v>79</v>
      </c>
      <c r="F130" s="11" t="s">
        <v>219</v>
      </c>
      <c r="G130" s="11" t="s">
        <v>349</v>
      </c>
      <c r="H130" s="11">
        <v>19.0</v>
      </c>
      <c r="I130" s="11">
        <v>20.0</v>
      </c>
      <c r="J130" s="14">
        <v>0.0</v>
      </c>
      <c r="K130" s="14">
        <v>0.0</v>
      </c>
      <c r="L130" s="14">
        <v>4.0</v>
      </c>
      <c r="M130" s="14">
        <v>3.0</v>
      </c>
      <c r="N130" s="14">
        <v>2.0</v>
      </c>
      <c r="O130" s="14">
        <v>13.0</v>
      </c>
      <c r="P130" s="14">
        <f t="shared" si="1"/>
        <v>22</v>
      </c>
      <c r="Q130" s="14">
        <v>17.0</v>
      </c>
      <c r="R130" s="14">
        <v>0.0</v>
      </c>
      <c r="S130" s="14">
        <v>0.0</v>
      </c>
      <c r="T130" s="14">
        <v>0.0</v>
      </c>
      <c r="U130" s="14">
        <f t="shared" si="2"/>
        <v>17</v>
      </c>
      <c r="V130" s="14">
        <v>0.0</v>
      </c>
      <c r="W130" s="14">
        <v>0.0</v>
      </c>
      <c r="X130" s="14">
        <v>0.0</v>
      </c>
      <c r="Y130" s="14">
        <f t="shared" si="3"/>
        <v>0</v>
      </c>
      <c r="Z130" s="14">
        <v>0.0</v>
      </c>
      <c r="AA130" s="14">
        <v>0.0</v>
      </c>
      <c r="AB130" s="11">
        <f t="shared" si="4"/>
        <v>39</v>
      </c>
    </row>
    <row r="131" ht="15.75" customHeight="1">
      <c r="A131" s="11">
        <v>131.0</v>
      </c>
      <c r="B131" s="13" t="s">
        <v>118</v>
      </c>
      <c r="C131" s="11">
        <v>1.2023329E7</v>
      </c>
      <c r="D131" s="13" t="s">
        <v>350</v>
      </c>
      <c r="E131" s="11" t="s">
        <v>79</v>
      </c>
      <c r="F131" s="11" t="s">
        <v>204</v>
      </c>
      <c r="G131" s="11" t="s">
        <v>200</v>
      </c>
      <c r="H131" s="11">
        <v>10.0</v>
      </c>
      <c r="I131" s="11">
        <v>10.0</v>
      </c>
      <c r="J131" s="14">
        <v>3.0</v>
      </c>
      <c r="K131" s="14">
        <v>2.0</v>
      </c>
      <c r="L131" s="14">
        <v>0.0</v>
      </c>
      <c r="M131" s="14">
        <v>1.0</v>
      </c>
      <c r="N131" s="14">
        <v>2.0</v>
      </c>
      <c r="O131" s="14">
        <v>1.0</v>
      </c>
      <c r="P131" s="14">
        <f t="shared" si="1"/>
        <v>6</v>
      </c>
      <c r="Q131" s="14">
        <v>5.0</v>
      </c>
      <c r="R131" s="14">
        <v>6.0</v>
      </c>
      <c r="S131" s="14">
        <v>0.0</v>
      </c>
      <c r="T131" s="14">
        <v>0.0</v>
      </c>
      <c r="U131" s="14">
        <f t="shared" si="2"/>
        <v>11</v>
      </c>
      <c r="V131" s="14">
        <v>0.0</v>
      </c>
      <c r="W131" s="14">
        <v>0.0</v>
      </c>
      <c r="X131" s="14">
        <v>0.0</v>
      </c>
      <c r="Y131" s="14">
        <f t="shared" si="3"/>
        <v>0</v>
      </c>
      <c r="Z131" s="14">
        <v>0.0</v>
      </c>
      <c r="AA131" s="14">
        <v>0.0</v>
      </c>
      <c r="AB131" s="11">
        <f t="shared" si="4"/>
        <v>20</v>
      </c>
    </row>
    <row r="132" ht="15.75" customHeight="1">
      <c r="A132" s="11">
        <v>87.0</v>
      </c>
      <c r="B132" s="13" t="s">
        <v>64</v>
      </c>
      <c r="C132" s="11">
        <v>1.2007005E7</v>
      </c>
      <c r="D132" s="13" t="s">
        <v>351</v>
      </c>
      <c r="E132" s="11" t="s">
        <v>51</v>
      </c>
      <c r="F132" s="11" t="s">
        <v>93</v>
      </c>
      <c r="G132" s="11" t="s">
        <v>352</v>
      </c>
      <c r="H132" s="11">
        <v>37.0</v>
      </c>
      <c r="I132" s="11">
        <v>42.0</v>
      </c>
      <c r="J132" s="14">
        <v>0.0</v>
      </c>
      <c r="K132" s="14">
        <v>9.0</v>
      </c>
      <c r="L132" s="14">
        <v>32.0</v>
      </c>
      <c r="M132" s="14">
        <v>0.0</v>
      </c>
      <c r="N132" s="14">
        <v>23.0</v>
      </c>
      <c r="O132" s="14">
        <v>15.0</v>
      </c>
      <c r="P132" s="14">
        <f t="shared" si="1"/>
        <v>79</v>
      </c>
      <c r="Q132" s="14">
        <v>0.0</v>
      </c>
      <c r="R132" s="14">
        <v>0.0</v>
      </c>
      <c r="S132" s="14">
        <v>0.0</v>
      </c>
      <c r="T132" s="14">
        <v>0.0</v>
      </c>
      <c r="U132" s="14">
        <f t="shared" si="2"/>
        <v>0</v>
      </c>
      <c r="V132" s="14">
        <v>0.0</v>
      </c>
      <c r="W132" s="14">
        <v>0.0</v>
      </c>
      <c r="X132" s="14">
        <v>0.0</v>
      </c>
      <c r="Y132" s="14">
        <f t="shared" si="3"/>
        <v>0</v>
      </c>
      <c r="Z132" s="14">
        <v>0.0</v>
      </c>
      <c r="AA132" s="14">
        <v>0.0</v>
      </c>
      <c r="AB132" s="11">
        <f t="shared" si="4"/>
        <v>79</v>
      </c>
    </row>
    <row r="133" ht="15.75" customHeight="1">
      <c r="A133" s="11">
        <v>129.0</v>
      </c>
      <c r="B133" s="13" t="s">
        <v>118</v>
      </c>
      <c r="C133" s="11">
        <v>1.2006408E7</v>
      </c>
      <c r="D133" s="13" t="s">
        <v>353</v>
      </c>
      <c r="E133" s="11" t="s">
        <v>79</v>
      </c>
      <c r="F133" s="11" t="s">
        <v>120</v>
      </c>
      <c r="G133" s="11" t="s">
        <v>354</v>
      </c>
      <c r="H133" s="11">
        <v>8.0</v>
      </c>
      <c r="I133" s="11">
        <v>14.0</v>
      </c>
      <c r="J133" s="14">
        <v>0.0</v>
      </c>
      <c r="K133" s="14">
        <v>1.0</v>
      </c>
      <c r="L133" s="14">
        <v>0.0</v>
      </c>
      <c r="M133" s="14">
        <v>3.0</v>
      </c>
      <c r="N133" s="14">
        <v>1.0</v>
      </c>
      <c r="O133" s="14">
        <v>2.0</v>
      </c>
      <c r="P133" s="14">
        <f t="shared" si="1"/>
        <v>7</v>
      </c>
      <c r="Q133" s="14">
        <v>1.0</v>
      </c>
      <c r="R133" s="14">
        <v>1.0</v>
      </c>
      <c r="S133" s="14">
        <v>6.0</v>
      </c>
      <c r="T133" s="14">
        <v>2.0</v>
      </c>
      <c r="U133" s="14">
        <f t="shared" si="2"/>
        <v>10</v>
      </c>
      <c r="V133" s="14">
        <v>5.0</v>
      </c>
      <c r="W133" s="14">
        <v>0.0</v>
      </c>
      <c r="X133" s="14">
        <v>0.0</v>
      </c>
      <c r="Y133" s="14">
        <f t="shared" si="3"/>
        <v>5</v>
      </c>
      <c r="Z133" s="14">
        <v>0.0</v>
      </c>
      <c r="AA133" s="14">
        <v>0.0</v>
      </c>
      <c r="AB133" s="11">
        <f t="shared" si="4"/>
        <v>22</v>
      </c>
    </row>
    <row r="134" ht="15.75" customHeight="1">
      <c r="A134" s="11" t="s">
        <v>36</v>
      </c>
      <c r="B134" s="13" t="s">
        <v>118</v>
      </c>
      <c r="C134" s="11">
        <v>1.2006408E7</v>
      </c>
      <c r="D134" s="13" t="s">
        <v>355</v>
      </c>
      <c r="E134" s="11" t="s">
        <v>79</v>
      </c>
      <c r="F134" s="11" t="s">
        <v>120</v>
      </c>
      <c r="G134" s="11" t="s">
        <v>288</v>
      </c>
      <c r="H134" s="11">
        <v>8.0</v>
      </c>
      <c r="I134" s="11">
        <v>5.0</v>
      </c>
      <c r="J134" s="14">
        <v>0.0</v>
      </c>
      <c r="K134" s="14">
        <v>0.0</v>
      </c>
      <c r="L134" s="14">
        <v>2.0</v>
      </c>
      <c r="M134" s="14">
        <v>2.0</v>
      </c>
      <c r="N134" s="14">
        <v>2.0</v>
      </c>
      <c r="O134" s="14">
        <v>4.0</v>
      </c>
      <c r="P134" s="14">
        <f t="shared" si="1"/>
        <v>10</v>
      </c>
      <c r="Q134" s="14">
        <v>2.0</v>
      </c>
      <c r="R134" s="14">
        <v>1.0</v>
      </c>
      <c r="S134" s="14">
        <v>0.0</v>
      </c>
      <c r="T134" s="14">
        <v>0.0</v>
      </c>
      <c r="U134" s="14">
        <f t="shared" si="2"/>
        <v>3</v>
      </c>
      <c r="V134" s="14">
        <v>0.0</v>
      </c>
      <c r="W134" s="14">
        <v>0.0</v>
      </c>
      <c r="X134" s="14">
        <v>0.0</v>
      </c>
      <c r="Y134" s="14">
        <f t="shared" si="3"/>
        <v>0</v>
      </c>
      <c r="Z134" s="14">
        <v>0.0</v>
      </c>
      <c r="AA134" s="14">
        <v>0.0</v>
      </c>
      <c r="AB134" s="11">
        <f t="shared" si="4"/>
        <v>13</v>
      </c>
    </row>
    <row r="135" ht="15.75" customHeight="1">
      <c r="A135" s="11">
        <v>132.0</v>
      </c>
      <c r="B135" s="13" t="s">
        <v>118</v>
      </c>
      <c r="C135" s="11">
        <v>1.2006416E7</v>
      </c>
      <c r="D135" s="13" t="s">
        <v>356</v>
      </c>
      <c r="E135" s="11" t="s">
        <v>79</v>
      </c>
      <c r="F135" s="11" t="s">
        <v>204</v>
      </c>
      <c r="G135" s="11" t="s">
        <v>357</v>
      </c>
      <c r="H135" s="11">
        <v>23.0</v>
      </c>
      <c r="I135" s="11">
        <v>19.0</v>
      </c>
      <c r="J135" s="14">
        <v>0.0</v>
      </c>
      <c r="K135" s="14">
        <v>0.0</v>
      </c>
      <c r="L135" s="14">
        <v>0.0</v>
      </c>
      <c r="M135" s="14">
        <v>4.0</v>
      </c>
      <c r="N135" s="14">
        <v>12.0</v>
      </c>
      <c r="O135" s="14">
        <v>3.0</v>
      </c>
      <c r="P135" s="14">
        <f t="shared" si="1"/>
        <v>19</v>
      </c>
      <c r="Q135" s="14">
        <v>5.0</v>
      </c>
      <c r="R135" s="14">
        <v>3.0</v>
      </c>
      <c r="S135" s="14">
        <v>7.0</v>
      </c>
      <c r="T135" s="14">
        <v>8.0</v>
      </c>
      <c r="U135" s="14">
        <f t="shared" si="2"/>
        <v>23</v>
      </c>
      <c r="V135" s="14">
        <v>0.0</v>
      </c>
      <c r="W135" s="14">
        <v>0.0</v>
      </c>
      <c r="X135" s="14">
        <v>0.0</v>
      </c>
      <c r="Y135" s="14">
        <f t="shared" si="3"/>
        <v>0</v>
      </c>
      <c r="Z135" s="14">
        <v>0.0</v>
      </c>
      <c r="AA135" s="14">
        <v>0.0</v>
      </c>
      <c r="AB135" s="11">
        <f t="shared" si="4"/>
        <v>42</v>
      </c>
    </row>
    <row r="136" ht="15.75" customHeight="1">
      <c r="A136" s="11" t="s">
        <v>36</v>
      </c>
      <c r="B136" s="13" t="s">
        <v>118</v>
      </c>
      <c r="C136" s="11">
        <v>1.2006416E7</v>
      </c>
      <c r="D136" s="13" t="s">
        <v>358</v>
      </c>
      <c r="E136" s="11" t="s">
        <v>79</v>
      </c>
      <c r="F136" s="11" t="s">
        <v>204</v>
      </c>
      <c r="G136" s="11" t="s">
        <v>359</v>
      </c>
      <c r="H136" s="11">
        <v>3.0</v>
      </c>
      <c r="I136" s="11">
        <v>2.0</v>
      </c>
      <c r="J136" s="14">
        <v>0.0</v>
      </c>
      <c r="K136" s="14">
        <v>0.0</v>
      </c>
      <c r="L136" s="14">
        <v>0.0</v>
      </c>
      <c r="M136" s="14">
        <v>2.0</v>
      </c>
      <c r="N136" s="14">
        <v>0.0</v>
      </c>
      <c r="O136" s="14">
        <v>2.0</v>
      </c>
      <c r="P136" s="14">
        <f t="shared" si="1"/>
        <v>4</v>
      </c>
      <c r="Q136" s="14">
        <v>0.0</v>
      </c>
      <c r="R136" s="14">
        <v>1.0</v>
      </c>
      <c r="S136" s="14">
        <v>0.0</v>
      </c>
      <c r="T136" s="14">
        <v>0.0</v>
      </c>
      <c r="U136" s="14">
        <f t="shared" si="2"/>
        <v>1</v>
      </c>
      <c r="V136" s="14">
        <v>0.0</v>
      </c>
      <c r="W136" s="14">
        <v>0.0</v>
      </c>
      <c r="X136" s="14">
        <v>0.0</v>
      </c>
      <c r="Y136" s="14">
        <f t="shared" si="3"/>
        <v>0</v>
      </c>
      <c r="Z136" s="14">
        <v>0.0</v>
      </c>
      <c r="AA136" s="14">
        <v>0.0</v>
      </c>
      <c r="AB136" s="11">
        <f t="shared" si="4"/>
        <v>5</v>
      </c>
    </row>
    <row r="137" ht="15.75" customHeight="1">
      <c r="A137" s="11">
        <v>106.0</v>
      </c>
      <c r="B137" s="13" t="s">
        <v>129</v>
      </c>
      <c r="C137" s="11">
        <v>1.2007218E7</v>
      </c>
      <c r="D137" s="13" t="s">
        <v>360</v>
      </c>
      <c r="E137" s="11" t="s">
        <v>79</v>
      </c>
      <c r="F137" s="11" t="s">
        <v>93</v>
      </c>
      <c r="G137" s="11" t="s">
        <v>361</v>
      </c>
      <c r="H137" s="11">
        <v>15.0</v>
      </c>
      <c r="I137" s="11">
        <v>32.0</v>
      </c>
      <c r="J137" s="14">
        <v>0.0</v>
      </c>
      <c r="K137" s="14">
        <v>1.0</v>
      </c>
      <c r="L137" s="14">
        <v>1.0</v>
      </c>
      <c r="M137" s="14">
        <v>5.0</v>
      </c>
      <c r="N137" s="14">
        <v>6.0</v>
      </c>
      <c r="O137" s="14">
        <v>3.0</v>
      </c>
      <c r="P137" s="14">
        <f t="shared" si="1"/>
        <v>16</v>
      </c>
      <c r="Q137" s="14">
        <v>0.0</v>
      </c>
      <c r="R137" s="14">
        <v>0.0</v>
      </c>
      <c r="S137" s="14">
        <v>0.0</v>
      </c>
      <c r="T137" s="14">
        <v>0.0</v>
      </c>
      <c r="U137" s="14">
        <f t="shared" si="2"/>
        <v>0</v>
      </c>
      <c r="V137" s="14">
        <v>7.0</v>
      </c>
      <c r="W137" s="14">
        <v>12.0</v>
      </c>
      <c r="X137" s="14">
        <v>12.0</v>
      </c>
      <c r="Y137" s="14">
        <f t="shared" si="3"/>
        <v>31</v>
      </c>
      <c r="Z137" s="14">
        <v>0.0</v>
      </c>
      <c r="AA137" s="14">
        <v>0.0</v>
      </c>
      <c r="AB137" s="11">
        <f t="shared" si="4"/>
        <v>47</v>
      </c>
    </row>
    <row r="138" ht="15.75" customHeight="1">
      <c r="A138" s="11">
        <v>133.0</v>
      </c>
      <c r="B138" s="13" t="s">
        <v>118</v>
      </c>
      <c r="C138" s="11">
        <v>1.2006459E7</v>
      </c>
      <c r="D138" s="13" t="s">
        <v>362</v>
      </c>
      <c r="E138" s="11" t="s">
        <v>79</v>
      </c>
      <c r="F138" s="11" t="s">
        <v>204</v>
      </c>
      <c r="G138" s="11" t="s">
        <v>363</v>
      </c>
      <c r="H138" s="11">
        <v>21.0</v>
      </c>
      <c r="I138" s="11">
        <v>24.0</v>
      </c>
      <c r="J138" s="14">
        <v>0.0</v>
      </c>
      <c r="K138" s="14">
        <v>3.0</v>
      </c>
      <c r="L138" s="14">
        <v>0.0</v>
      </c>
      <c r="M138" s="14">
        <v>19.0</v>
      </c>
      <c r="N138" s="14">
        <v>2.0</v>
      </c>
      <c r="O138" s="14">
        <v>1.0</v>
      </c>
      <c r="P138" s="14">
        <f t="shared" si="1"/>
        <v>25</v>
      </c>
      <c r="Q138" s="14">
        <v>0.0</v>
      </c>
      <c r="R138" s="14">
        <v>4.0</v>
      </c>
      <c r="S138" s="14">
        <v>6.0</v>
      </c>
      <c r="T138" s="14">
        <v>3.0</v>
      </c>
      <c r="U138" s="14">
        <f t="shared" si="2"/>
        <v>13</v>
      </c>
      <c r="V138" s="14">
        <v>7.0</v>
      </c>
      <c r="W138" s="14">
        <v>0.0</v>
      </c>
      <c r="X138" s="14">
        <v>0.0</v>
      </c>
      <c r="Y138" s="14">
        <f t="shared" si="3"/>
        <v>7</v>
      </c>
      <c r="Z138" s="14">
        <v>0.0</v>
      </c>
      <c r="AA138" s="14">
        <v>0.0</v>
      </c>
      <c r="AB138" s="11">
        <f t="shared" si="4"/>
        <v>45</v>
      </c>
    </row>
    <row r="139" ht="15.75" customHeight="1">
      <c r="A139" s="11">
        <v>120.0</v>
      </c>
      <c r="B139" s="13" t="s">
        <v>59</v>
      </c>
      <c r="C139" s="11">
        <v>1.2026247E7</v>
      </c>
      <c r="D139" s="13" t="s">
        <v>364</v>
      </c>
      <c r="E139" s="11" t="s">
        <v>60</v>
      </c>
      <c r="F139" s="11" t="s">
        <v>365</v>
      </c>
      <c r="G139" s="11" t="s">
        <v>365</v>
      </c>
      <c r="H139" s="11">
        <v>4.0</v>
      </c>
      <c r="I139" s="11">
        <v>3.0</v>
      </c>
      <c r="J139" s="14">
        <v>0.0</v>
      </c>
      <c r="K139" s="14">
        <v>4.0</v>
      </c>
      <c r="L139" s="14">
        <v>2.0</v>
      </c>
      <c r="M139" s="14">
        <v>0.0</v>
      </c>
      <c r="N139" s="14">
        <v>1.0</v>
      </c>
      <c r="O139" s="14">
        <v>0.0</v>
      </c>
      <c r="P139" s="14">
        <f t="shared" si="1"/>
        <v>7</v>
      </c>
      <c r="Q139" s="14">
        <v>0.0</v>
      </c>
      <c r="R139" s="14">
        <v>0.0</v>
      </c>
      <c r="S139" s="14">
        <v>0.0</v>
      </c>
      <c r="T139" s="14">
        <v>0.0</v>
      </c>
      <c r="U139" s="14">
        <f t="shared" si="2"/>
        <v>0</v>
      </c>
      <c r="V139" s="14">
        <v>0.0</v>
      </c>
      <c r="W139" s="14">
        <v>0.0</v>
      </c>
      <c r="X139" s="14">
        <v>0.0</v>
      </c>
      <c r="Y139" s="14">
        <f t="shared" si="3"/>
        <v>0</v>
      </c>
      <c r="Z139" s="14">
        <v>0.0</v>
      </c>
      <c r="AA139" s="14">
        <v>0.0</v>
      </c>
      <c r="AB139" s="11">
        <f t="shared" si="4"/>
        <v>7</v>
      </c>
    </row>
    <row r="140" ht="15.75" customHeight="1">
      <c r="A140" s="11">
        <v>20.0</v>
      </c>
      <c r="B140" s="13" t="s">
        <v>47</v>
      </c>
      <c r="C140" s="11">
        <v>1.2026158E7</v>
      </c>
      <c r="D140" s="13" t="s">
        <v>366</v>
      </c>
      <c r="E140" s="11" t="s">
        <v>111</v>
      </c>
      <c r="F140" s="11" t="s">
        <v>112</v>
      </c>
      <c r="G140" s="11" t="s">
        <v>367</v>
      </c>
      <c r="H140" s="11">
        <v>20.0</v>
      </c>
      <c r="I140" s="11">
        <v>21.0</v>
      </c>
      <c r="J140" s="14">
        <v>0.0</v>
      </c>
      <c r="K140" s="14">
        <v>1.0</v>
      </c>
      <c r="L140" s="14">
        <v>4.0</v>
      </c>
      <c r="M140" s="14">
        <v>6.0</v>
      </c>
      <c r="N140" s="14">
        <v>7.0</v>
      </c>
      <c r="O140" s="14">
        <v>0.0</v>
      </c>
      <c r="P140" s="14">
        <f t="shared" si="1"/>
        <v>18</v>
      </c>
      <c r="Q140" s="14">
        <v>8.0</v>
      </c>
      <c r="R140" s="14">
        <v>5.0</v>
      </c>
      <c r="S140" s="14">
        <v>3.0</v>
      </c>
      <c r="T140" s="14">
        <v>7.0</v>
      </c>
      <c r="U140" s="14">
        <f t="shared" si="2"/>
        <v>23</v>
      </c>
      <c r="V140" s="14">
        <v>0.0</v>
      </c>
      <c r="W140" s="14">
        <v>0.0</v>
      </c>
      <c r="X140" s="14">
        <v>0.0</v>
      </c>
      <c r="Y140" s="14">
        <f t="shared" si="3"/>
        <v>0</v>
      </c>
      <c r="Z140" s="14">
        <v>0.0</v>
      </c>
      <c r="AA140" s="14">
        <v>0.0</v>
      </c>
      <c r="AB140" s="11">
        <f t="shared" si="4"/>
        <v>41</v>
      </c>
    </row>
    <row r="141" ht="15.75" customHeight="1">
      <c r="A141" s="11">
        <v>8.0</v>
      </c>
      <c r="B141" s="13" t="s">
        <v>47</v>
      </c>
      <c r="C141" s="11">
        <v>1.2029505E7</v>
      </c>
      <c r="D141" s="13" t="s">
        <v>368</v>
      </c>
      <c r="E141" s="11" t="s">
        <v>111</v>
      </c>
      <c r="F141" s="11" t="s">
        <v>280</v>
      </c>
      <c r="G141" s="11" t="s">
        <v>369</v>
      </c>
      <c r="H141" s="11">
        <v>15.0</v>
      </c>
      <c r="I141" s="11">
        <v>19.0</v>
      </c>
      <c r="J141" s="14">
        <v>0.0</v>
      </c>
      <c r="K141" s="14">
        <v>1.0</v>
      </c>
      <c r="L141" s="14">
        <v>3.0</v>
      </c>
      <c r="M141" s="14">
        <v>3.0</v>
      </c>
      <c r="N141" s="14">
        <v>0.0</v>
      </c>
      <c r="O141" s="14">
        <v>8.0</v>
      </c>
      <c r="P141" s="14">
        <f t="shared" si="1"/>
        <v>15</v>
      </c>
      <c r="Q141" s="14">
        <v>5.0</v>
      </c>
      <c r="R141" s="14">
        <v>4.0</v>
      </c>
      <c r="S141" s="14">
        <v>6.0</v>
      </c>
      <c r="T141" s="14">
        <v>4.0</v>
      </c>
      <c r="U141" s="14">
        <f t="shared" si="2"/>
        <v>19</v>
      </c>
      <c r="V141" s="14">
        <v>0.0</v>
      </c>
      <c r="W141" s="14">
        <v>0.0</v>
      </c>
      <c r="X141" s="14">
        <v>0.0</v>
      </c>
      <c r="Y141" s="14">
        <f t="shared" si="3"/>
        <v>0</v>
      </c>
      <c r="Z141" s="14">
        <v>0.0</v>
      </c>
      <c r="AA141" s="14">
        <v>0.0</v>
      </c>
      <c r="AB141" s="11">
        <f t="shared" si="4"/>
        <v>34</v>
      </c>
    </row>
    <row r="142" ht="15.75" customHeight="1">
      <c r="A142" s="11">
        <v>109.0</v>
      </c>
      <c r="B142" s="13" t="s">
        <v>129</v>
      </c>
      <c r="C142" s="11">
        <v>1.200725E7</v>
      </c>
      <c r="D142" s="13" t="s">
        <v>370</v>
      </c>
      <c r="E142" s="11" t="s">
        <v>51</v>
      </c>
      <c r="F142" s="11" t="s">
        <v>93</v>
      </c>
      <c r="G142" s="11" t="s">
        <v>371</v>
      </c>
      <c r="H142" s="11">
        <v>10.0</v>
      </c>
      <c r="I142" s="11">
        <v>11.0</v>
      </c>
      <c r="J142" s="14">
        <v>0.0</v>
      </c>
      <c r="K142" s="14">
        <v>0.0</v>
      </c>
      <c r="L142" s="14">
        <v>8.0</v>
      </c>
      <c r="M142" s="14">
        <v>9.0</v>
      </c>
      <c r="N142" s="14">
        <v>0.0</v>
      </c>
      <c r="O142" s="14">
        <v>4.0</v>
      </c>
      <c r="P142" s="14">
        <f t="shared" si="1"/>
        <v>21</v>
      </c>
      <c r="Q142" s="14">
        <v>0.0</v>
      </c>
      <c r="R142" s="14">
        <v>0.0</v>
      </c>
      <c r="S142" s="14">
        <v>0.0</v>
      </c>
      <c r="T142" s="14">
        <v>0.0</v>
      </c>
      <c r="U142" s="14">
        <f t="shared" si="2"/>
        <v>0</v>
      </c>
      <c r="V142" s="14">
        <v>0.0</v>
      </c>
      <c r="W142" s="14">
        <v>0.0</v>
      </c>
      <c r="X142" s="14">
        <v>0.0</v>
      </c>
      <c r="Y142" s="14">
        <f t="shared" si="3"/>
        <v>0</v>
      </c>
      <c r="Z142" s="14">
        <v>0.0</v>
      </c>
      <c r="AA142" s="14">
        <v>0.0</v>
      </c>
      <c r="AB142" s="11">
        <f t="shared" si="4"/>
        <v>21</v>
      </c>
    </row>
    <row r="143" ht="15.75" customHeight="1">
      <c r="A143" s="11">
        <v>63.0</v>
      </c>
      <c r="B143" s="13" t="s">
        <v>49</v>
      </c>
      <c r="C143" s="11">
        <v>1.2033782E7</v>
      </c>
      <c r="D143" s="13" t="s">
        <v>372</v>
      </c>
      <c r="E143" s="11" t="s">
        <v>87</v>
      </c>
      <c r="F143" s="11" t="s">
        <v>88</v>
      </c>
      <c r="G143" s="11" t="s">
        <v>373</v>
      </c>
      <c r="H143" s="11">
        <v>6.0</v>
      </c>
      <c r="I143" s="11">
        <v>1.0</v>
      </c>
      <c r="J143" s="14">
        <v>0.0</v>
      </c>
      <c r="K143" s="14">
        <v>0.0</v>
      </c>
      <c r="L143" s="14">
        <v>1.0</v>
      </c>
      <c r="M143" s="14">
        <v>0.0</v>
      </c>
      <c r="N143" s="14">
        <v>2.0</v>
      </c>
      <c r="O143" s="14">
        <v>2.0</v>
      </c>
      <c r="P143" s="14">
        <f t="shared" si="1"/>
        <v>5</v>
      </c>
      <c r="Q143" s="14">
        <v>2.0</v>
      </c>
      <c r="R143" s="14">
        <v>0.0</v>
      </c>
      <c r="S143" s="14">
        <v>0.0</v>
      </c>
      <c r="T143" s="14">
        <v>0.0</v>
      </c>
      <c r="U143" s="14">
        <f t="shared" si="2"/>
        <v>2</v>
      </c>
      <c r="V143" s="14">
        <v>0.0</v>
      </c>
      <c r="W143" s="14">
        <v>0.0</v>
      </c>
      <c r="X143" s="14">
        <v>0.0</v>
      </c>
      <c r="Y143" s="14">
        <f t="shared" si="3"/>
        <v>0</v>
      </c>
      <c r="Z143" s="14">
        <v>0.0</v>
      </c>
      <c r="AA143" s="14">
        <v>0.0</v>
      </c>
      <c r="AB143" s="11">
        <f t="shared" si="4"/>
        <v>7</v>
      </c>
    </row>
    <row r="144" ht="15.75" customHeight="1">
      <c r="A144" s="11">
        <v>21.0</v>
      </c>
      <c r="B144" s="13" t="s">
        <v>47</v>
      </c>
      <c r="C144" s="11">
        <v>1.2021741E7</v>
      </c>
      <c r="D144" s="13" t="s">
        <v>374</v>
      </c>
      <c r="E144" s="11" t="s">
        <v>111</v>
      </c>
      <c r="F144" s="11" t="s">
        <v>112</v>
      </c>
      <c r="G144" s="11" t="s">
        <v>295</v>
      </c>
      <c r="H144" s="11">
        <v>41.0</v>
      </c>
      <c r="I144" s="11">
        <v>43.0</v>
      </c>
      <c r="J144" s="14">
        <v>9.0</v>
      </c>
      <c r="K144" s="14">
        <v>2.0</v>
      </c>
      <c r="L144" s="14">
        <v>14.0</v>
      </c>
      <c r="M144" s="14">
        <v>3.0</v>
      </c>
      <c r="N144" s="14">
        <v>2.0</v>
      </c>
      <c r="O144" s="14">
        <v>1.0</v>
      </c>
      <c r="P144" s="14">
        <f t="shared" si="1"/>
        <v>22</v>
      </c>
      <c r="Q144" s="14">
        <v>17.0</v>
      </c>
      <c r="R144" s="14">
        <v>12.0</v>
      </c>
      <c r="S144" s="14">
        <v>2.0</v>
      </c>
      <c r="T144" s="14">
        <v>22.0</v>
      </c>
      <c r="U144" s="14">
        <f t="shared" si="2"/>
        <v>53</v>
      </c>
      <c r="V144" s="14">
        <v>0.0</v>
      </c>
      <c r="W144" s="14">
        <v>0.0</v>
      </c>
      <c r="X144" s="14">
        <v>0.0</v>
      </c>
      <c r="Y144" s="14">
        <f t="shared" si="3"/>
        <v>0</v>
      </c>
      <c r="Z144" s="14">
        <v>0.0</v>
      </c>
      <c r="AA144" s="14">
        <v>0.0</v>
      </c>
      <c r="AB144" s="11">
        <f t="shared" si="4"/>
        <v>84</v>
      </c>
    </row>
    <row r="145" ht="15.75" customHeight="1">
      <c r="A145" s="11">
        <f>A147+1</f>
        <v>65</v>
      </c>
      <c r="B145" s="13" t="s">
        <v>49</v>
      </c>
      <c r="C145" s="11">
        <v>1.2028975E7</v>
      </c>
      <c r="D145" s="13" t="s">
        <v>375</v>
      </c>
      <c r="E145" s="11" t="s">
        <v>62</v>
      </c>
      <c r="F145" s="11" t="s">
        <v>106</v>
      </c>
      <c r="G145" s="11" t="s">
        <v>214</v>
      </c>
      <c r="H145" s="11">
        <v>50.0</v>
      </c>
      <c r="I145" s="11">
        <v>68.0</v>
      </c>
      <c r="J145" s="14">
        <v>0.0</v>
      </c>
      <c r="K145" s="14">
        <v>8.0</v>
      </c>
      <c r="L145" s="14">
        <v>3.0</v>
      </c>
      <c r="M145" s="14">
        <v>15.0</v>
      </c>
      <c r="N145" s="14">
        <v>15.0</v>
      </c>
      <c r="O145" s="14">
        <v>10.0</v>
      </c>
      <c r="P145" s="14">
        <f t="shared" si="1"/>
        <v>51</v>
      </c>
      <c r="Q145" s="14">
        <v>19.0</v>
      </c>
      <c r="R145" s="14">
        <v>18.0</v>
      </c>
      <c r="S145" s="14">
        <v>3.0</v>
      </c>
      <c r="T145" s="14">
        <v>27.0</v>
      </c>
      <c r="U145" s="14">
        <f t="shared" si="2"/>
        <v>67</v>
      </c>
      <c r="V145" s="14">
        <v>0.0</v>
      </c>
      <c r="W145" s="14">
        <v>0.0</v>
      </c>
      <c r="X145" s="14">
        <v>0.0</v>
      </c>
      <c r="Y145" s="14">
        <f t="shared" si="3"/>
        <v>0</v>
      </c>
      <c r="Z145" s="14">
        <v>0.0</v>
      </c>
      <c r="AA145" s="14">
        <v>0.0</v>
      </c>
      <c r="AB145" s="11">
        <f t="shared" si="4"/>
        <v>118</v>
      </c>
    </row>
    <row r="146" ht="15.75" customHeight="1">
      <c r="A146" s="11" t="s">
        <v>36</v>
      </c>
      <c r="B146" s="13" t="s">
        <v>49</v>
      </c>
      <c r="C146" s="11">
        <v>1.2028975E7</v>
      </c>
      <c r="D146" s="13" t="s">
        <v>376</v>
      </c>
      <c r="E146" s="11" t="s">
        <v>62</v>
      </c>
      <c r="F146" s="11" t="s">
        <v>106</v>
      </c>
      <c r="G146" s="11" t="s">
        <v>377</v>
      </c>
      <c r="H146" s="11">
        <v>8.0</v>
      </c>
      <c r="I146" s="11">
        <v>8.0</v>
      </c>
      <c r="J146" s="14">
        <v>0.0</v>
      </c>
      <c r="K146" s="14">
        <v>0.0</v>
      </c>
      <c r="L146" s="14">
        <v>4.0</v>
      </c>
      <c r="M146" s="14">
        <v>4.0</v>
      </c>
      <c r="N146" s="14">
        <v>5.0</v>
      </c>
      <c r="O146" s="14">
        <v>3.0</v>
      </c>
      <c r="P146" s="14">
        <f t="shared" si="1"/>
        <v>16</v>
      </c>
      <c r="Q146" s="14">
        <v>0.0</v>
      </c>
      <c r="R146" s="14">
        <v>0.0</v>
      </c>
      <c r="S146" s="14">
        <v>0.0</v>
      </c>
      <c r="T146" s="14">
        <v>0.0</v>
      </c>
      <c r="U146" s="14">
        <f t="shared" si="2"/>
        <v>0</v>
      </c>
      <c r="V146" s="14">
        <v>0.0</v>
      </c>
      <c r="W146" s="14">
        <v>0.0</v>
      </c>
      <c r="X146" s="14">
        <v>0.0</v>
      </c>
      <c r="Y146" s="14">
        <f t="shared" si="3"/>
        <v>0</v>
      </c>
      <c r="Z146" s="14">
        <v>0.0</v>
      </c>
      <c r="AA146" s="14">
        <v>0.0</v>
      </c>
      <c r="AB146" s="11">
        <f t="shared" si="4"/>
        <v>16</v>
      </c>
    </row>
    <row r="147" ht="15.75" customHeight="1">
      <c r="A147" s="11">
        <v>64.0</v>
      </c>
      <c r="B147" s="13" t="s">
        <v>49</v>
      </c>
      <c r="C147" s="11">
        <v>1.2131229E7</v>
      </c>
      <c r="D147" s="13" t="s">
        <v>378</v>
      </c>
      <c r="E147" s="11" t="s">
        <v>87</v>
      </c>
      <c r="F147" s="11" t="s">
        <v>88</v>
      </c>
      <c r="G147" s="11" t="s">
        <v>87</v>
      </c>
      <c r="H147" s="11">
        <v>18.0</v>
      </c>
      <c r="I147" s="11">
        <v>22.0</v>
      </c>
      <c r="J147" s="14">
        <v>0.0</v>
      </c>
      <c r="K147" s="14">
        <v>1.0</v>
      </c>
      <c r="L147" s="14">
        <v>1.0</v>
      </c>
      <c r="M147" s="14">
        <v>2.0</v>
      </c>
      <c r="N147" s="14">
        <v>1.0</v>
      </c>
      <c r="O147" s="14">
        <v>5.0</v>
      </c>
      <c r="P147" s="14">
        <f t="shared" si="1"/>
        <v>10</v>
      </c>
      <c r="Q147" s="14">
        <v>2.0</v>
      </c>
      <c r="R147" s="14">
        <v>2.0</v>
      </c>
      <c r="S147" s="14">
        <v>3.0</v>
      </c>
      <c r="T147" s="14">
        <v>4.0</v>
      </c>
      <c r="U147" s="14">
        <f t="shared" si="2"/>
        <v>11</v>
      </c>
      <c r="V147" s="14">
        <v>4.0</v>
      </c>
      <c r="W147" s="14">
        <v>4.0</v>
      </c>
      <c r="X147" s="14">
        <v>11.0</v>
      </c>
      <c r="Y147" s="14">
        <f t="shared" si="3"/>
        <v>19</v>
      </c>
      <c r="Z147" s="14">
        <v>0.0</v>
      </c>
      <c r="AA147" s="14">
        <v>0.0</v>
      </c>
      <c r="AB147" s="11">
        <f t="shared" si="4"/>
        <v>40</v>
      </c>
    </row>
    <row r="148" ht="15.75" customHeight="1">
      <c r="A148" s="11">
        <v>65.0</v>
      </c>
      <c r="B148" s="13" t="s">
        <v>49</v>
      </c>
      <c r="C148" s="11">
        <v>1.2031917E7</v>
      </c>
      <c r="D148" s="13" t="s">
        <v>379</v>
      </c>
      <c r="E148" s="11" t="s">
        <v>87</v>
      </c>
      <c r="F148" s="11" t="s">
        <v>88</v>
      </c>
      <c r="G148" s="11" t="s">
        <v>380</v>
      </c>
      <c r="H148" s="11">
        <v>3.0</v>
      </c>
      <c r="I148" s="11">
        <v>10.0</v>
      </c>
      <c r="J148" s="14">
        <v>0.0</v>
      </c>
      <c r="K148" s="14">
        <v>0.0</v>
      </c>
      <c r="L148" s="14">
        <v>1.0</v>
      </c>
      <c r="M148" s="14">
        <v>2.0</v>
      </c>
      <c r="N148" s="14">
        <v>0.0</v>
      </c>
      <c r="O148" s="14">
        <v>1.0</v>
      </c>
      <c r="P148" s="14">
        <f t="shared" si="1"/>
        <v>4</v>
      </c>
      <c r="Q148" s="14">
        <v>3.0</v>
      </c>
      <c r="R148" s="14">
        <v>1.0</v>
      </c>
      <c r="S148" s="14">
        <v>4.0</v>
      </c>
      <c r="T148" s="14">
        <v>1.0</v>
      </c>
      <c r="U148" s="14">
        <f t="shared" si="2"/>
        <v>9</v>
      </c>
      <c r="V148" s="14">
        <v>0.0</v>
      </c>
      <c r="W148" s="14">
        <v>0.0</v>
      </c>
      <c r="X148" s="14">
        <v>0.0</v>
      </c>
      <c r="Y148" s="14">
        <f t="shared" si="3"/>
        <v>0</v>
      </c>
      <c r="Z148" s="14">
        <v>0.0</v>
      </c>
      <c r="AA148" s="14">
        <v>0.0</v>
      </c>
      <c r="AB148" s="11">
        <f t="shared" si="4"/>
        <v>13</v>
      </c>
    </row>
    <row r="149" ht="15.75" customHeight="1">
      <c r="A149" s="11">
        <v>118.0</v>
      </c>
      <c r="B149" s="13" t="s">
        <v>59</v>
      </c>
      <c r="C149" s="11">
        <v>1.203049E7</v>
      </c>
      <c r="D149" s="13" t="s">
        <v>381</v>
      </c>
      <c r="E149" s="11" t="s">
        <v>60</v>
      </c>
      <c r="F149" s="11" t="s">
        <v>139</v>
      </c>
      <c r="G149" s="11" t="s">
        <v>382</v>
      </c>
      <c r="H149" s="11">
        <v>3.0</v>
      </c>
      <c r="I149" s="11">
        <v>6.0</v>
      </c>
      <c r="J149" s="14">
        <v>0.0</v>
      </c>
      <c r="K149" s="14">
        <v>2.0</v>
      </c>
      <c r="L149" s="14">
        <v>4.0</v>
      </c>
      <c r="M149" s="14">
        <v>0.0</v>
      </c>
      <c r="N149" s="14">
        <v>2.0</v>
      </c>
      <c r="O149" s="14">
        <v>1.0</v>
      </c>
      <c r="P149" s="14">
        <f t="shared" si="1"/>
        <v>9</v>
      </c>
      <c r="Q149" s="14">
        <v>0.0</v>
      </c>
      <c r="R149" s="14">
        <v>0.0</v>
      </c>
      <c r="S149" s="14">
        <v>0.0</v>
      </c>
      <c r="T149" s="14">
        <v>0.0</v>
      </c>
      <c r="U149" s="14">
        <f t="shared" si="2"/>
        <v>0</v>
      </c>
      <c r="V149" s="14">
        <v>0.0</v>
      </c>
      <c r="W149" s="14">
        <v>0.0</v>
      </c>
      <c r="X149" s="14">
        <v>0.0</v>
      </c>
      <c r="Y149" s="14">
        <f t="shared" si="3"/>
        <v>0</v>
      </c>
      <c r="Z149" s="14">
        <v>0.0</v>
      </c>
      <c r="AA149" s="14">
        <v>0.0</v>
      </c>
      <c r="AB149" s="11">
        <f t="shared" si="4"/>
        <v>9</v>
      </c>
    </row>
    <row r="150" ht="15.75" customHeight="1">
      <c r="A150" s="11">
        <v>114.0</v>
      </c>
      <c r="B150" s="13" t="s">
        <v>59</v>
      </c>
      <c r="C150" s="11">
        <v>1.2044628E7</v>
      </c>
      <c r="D150" s="13" t="s">
        <v>383</v>
      </c>
      <c r="E150" s="11" t="s">
        <v>60</v>
      </c>
      <c r="F150" s="11" t="s">
        <v>294</v>
      </c>
      <c r="G150" s="11" t="s">
        <v>384</v>
      </c>
      <c r="H150" s="11">
        <v>5.0</v>
      </c>
      <c r="I150" s="11">
        <v>4.0</v>
      </c>
      <c r="J150" s="14">
        <v>0.0</v>
      </c>
      <c r="K150" s="14">
        <v>1.0</v>
      </c>
      <c r="L150" s="14">
        <v>0.0</v>
      </c>
      <c r="M150" s="14">
        <v>3.0</v>
      </c>
      <c r="N150" s="14">
        <v>0.0</v>
      </c>
      <c r="O150" s="14">
        <v>5.0</v>
      </c>
      <c r="P150" s="14">
        <f t="shared" si="1"/>
        <v>9</v>
      </c>
      <c r="Q150" s="14">
        <v>0.0</v>
      </c>
      <c r="R150" s="14">
        <v>0.0</v>
      </c>
      <c r="S150" s="14">
        <v>0.0</v>
      </c>
      <c r="T150" s="14">
        <v>0.0</v>
      </c>
      <c r="U150" s="14">
        <f t="shared" si="2"/>
        <v>0</v>
      </c>
      <c r="V150" s="14">
        <v>0.0</v>
      </c>
      <c r="W150" s="14">
        <v>0.0</v>
      </c>
      <c r="X150" s="14">
        <v>0.0</v>
      </c>
      <c r="Y150" s="14">
        <f t="shared" si="3"/>
        <v>0</v>
      </c>
      <c r="Z150" s="14">
        <v>0.0</v>
      </c>
      <c r="AA150" s="14">
        <v>0.0</v>
      </c>
      <c r="AB150" s="11">
        <f t="shared" si="4"/>
        <v>9</v>
      </c>
    </row>
    <row r="151" ht="15.75" customHeight="1">
      <c r="A151" s="11">
        <v>36.0</v>
      </c>
      <c r="B151" s="13" t="s">
        <v>49</v>
      </c>
      <c r="C151" s="11">
        <v>1.2004952E7</v>
      </c>
      <c r="D151" s="13" t="s">
        <v>385</v>
      </c>
      <c r="E151" s="11" t="s">
        <v>62</v>
      </c>
      <c r="F151" s="11" t="s">
        <v>106</v>
      </c>
      <c r="G151" s="11" t="s">
        <v>386</v>
      </c>
      <c r="H151" s="11">
        <v>6.0</v>
      </c>
      <c r="I151" s="11">
        <v>5.0</v>
      </c>
      <c r="J151" s="14">
        <v>0.0</v>
      </c>
      <c r="K151" s="14">
        <v>0.0</v>
      </c>
      <c r="L151" s="14">
        <v>0.0</v>
      </c>
      <c r="M151" s="14">
        <v>1.0</v>
      </c>
      <c r="N151" s="14">
        <v>4.0</v>
      </c>
      <c r="O151" s="14">
        <v>2.0</v>
      </c>
      <c r="P151" s="14">
        <f t="shared" si="1"/>
        <v>7</v>
      </c>
      <c r="Q151" s="14">
        <v>1.0</v>
      </c>
      <c r="R151" s="14">
        <v>3.0</v>
      </c>
      <c r="S151" s="14">
        <v>0.0</v>
      </c>
      <c r="T151" s="14">
        <v>0.0</v>
      </c>
      <c r="U151" s="14">
        <f t="shared" si="2"/>
        <v>4</v>
      </c>
      <c r="V151" s="14">
        <v>0.0</v>
      </c>
      <c r="W151" s="14">
        <v>0.0</v>
      </c>
      <c r="X151" s="14">
        <v>0.0</v>
      </c>
      <c r="Y151" s="14">
        <f t="shared" si="3"/>
        <v>0</v>
      </c>
      <c r="Z151" s="14">
        <v>0.0</v>
      </c>
      <c r="AA151" s="14">
        <v>0.0</v>
      </c>
      <c r="AB151" s="11">
        <f t="shared" si="4"/>
        <v>11</v>
      </c>
    </row>
    <row r="152" ht="15.75" customHeight="1">
      <c r="A152" s="11">
        <v>110.0</v>
      </c>
      <c r="B152" s="13" t="s">
        <v>129</v>
      </c>
      <c r="C152" s="11">
        <v>1.2007242E7</v>
      </c>
      <c r="D152" s="13" t="s">
        <v>387</v>
      </c>
      <c r="E152" s="11" t="s">
        <v>51</v>
      </c>
      <c r="F152" s="11" t="s">
        <v>93</v>
      </c>
      <c r="G152" s="11" t="s">
        <v>388</v>
      </c>
      <c r="H152" s="11">
        <v>12.0</v>
      </c>
      <c r="I152" s="11">
        <v>12.0</v>
      </c>
      <c r="J152" s="14">
        <v>0.0</v>
      </c>
      <c r="K152" s="14">
        <v>5.0</v>
      </c>
      <c r="L152" s="14">
        <v>8.0</v>
      </c>
      <c r="M152" s="14">
        <v>1.0</v>
      </c>
      <c r="N152" s="14">
        <v>8.0</v>
      </c>
      <c r="O152" s="14">
        <v>2.0</v>
      </c>
      <c r="P152" s="14">
        <f t="shared" si="1"/>
        <v>24</v>
      </c>
      <c r="Q152" s="14">
        <v>0.0</v>
      </c>
      <c r="R152" s="14">
        <v>0.0</v>
      </c>
      <c r="S152" s="14">
        <v>0.0</v>
      </c>
      <c r="T152" s="14">
        <v>0.0</v>
      </c>
      <c r="U152" s="14">
        <f t="shared" si="2"/>
        <v>0</v>
      </c>
      <c r="V152" s="14">
        <v>0.0</v>
      </c>
      <c r="W152" s="14">
        <v>0.0</v>
      </c>
      <c r="X152" s="14">
        <v>0.0</v>
      </c>
      <c r="Y152" s="14">
        <f t="shared" si="3"/>
        <v>0</v>
      </c>
      <c r="Z152" s="14">
        <v>0.0</v>
      </c>
      <c r="AA152" s="14">
        <v>0.0</v>
      </c>
      <c r="AB152" s="11">
        <f t="shared" si="4"/>
        <v>24</v>
      </c>
    </row>
    <row r="153" ht="15.75" customHeight="1">
      <c r="A153" s="11">
        <v>30.0</v>
      </c>
      <c r="B153" s="13" t="s">
        <v>90</v>
      </c>
      <c r="C153" s="11">
        <v>1.2097225E7</v>
      </c>
      <c r="D153" s="13" t="s">
        <v>389</v>
      </c>
      <c r="E153" s="11" t="s">
        <v>91</v>
      </c>
      <c r="F153" s="11" t="s">
        <v>168</v>
      </c>
      <c r="G153" s="11" t="s">
        <v>198</v>
      </c>
      <c r="H153" s="11">
        <v>90.0</v>
      </c>
      <c r="I153" s="11">
        <v>70.0</v>
      </c>
      <c r="J153" s="14">
        <v>0.0</v>
      </c>
      <c r="K153" s="14">
        <v>0.0</v>
      </c>
      <c r="L153" s="14">
        <v>0.0</v>
      </c>
      <c r="M153" s="14">
        <v>0.0</v>
      </c>
      <c r="N153" s="14">
        <v>12.0</v>
      </c>
      <c r="O153" s="14">
        <v>15.0</v>
      </c>
      <c r="P153" s="14">
        <f t="shared" si="1"/>
        <v>27</v>
      </c>
      <c r="Q153" s="14">
        <v>16.0</v>
      </c>
      <c r="R153" s="14">
        <v>25.0</v>
      </c>
      <c r="S153" s="14">
        <v>26.0</v>
      </c>
      <c r="T153" s="14">
        <v>13.0</v>
      </c>
      <c r="U153" s="14">
        <f t="shared" si="2"/>
        <v>80</v>
      </c>
      <c r="V153" s="14">
        <v>16.0</v>
      </c>
      <c r="W153" s="14">
        <v>16.0</v>
      </c>
      <c r="X153" s="14">
        <v>9.0</v>
      </c>
      <c r="Y153" s="14">
        <f t="shared" si="3"/>
        <v>41</v>
      </c>
      <c r="Z153" s="14">
        <v>0.0</v>
      </c>
      <c r="AA153" s="14">
        <v>12.0</v>
      </c>
      <c r="AB153" s="11">
        <f t="shared" si="4"/>
        <v>160</v>
      </c>
    </row>
    <row r="154" ht="15.75" customHeight="1">
      <c r="A154" s="11">
        <v>66.0</v>
      </c>
      <c r="B154" s="13" t="s">
        <v>49</v>
      </c>
      <c r="C154" s="11">
        <v>1.2004642E7</v>
      </c>
      <c r="D154" s="13" t="s">
        <v>390</v>
      </c>
      <c r="E154" s="11" t="s">
        <v>87</v>
      </c>
      <c r="F154" s="11" t="s">
        <v>88</v>
      </c>
      <c r="G154" s="11" t="s">
        <v>224</v>
      </c>
      <c r="H154" s="11">
        <v>84.0</v>
      </c>
      <c r="I154" s="11">
        <v>76.0</v>
      </c>
      <c r="J154" s="14">
        <v>14.0</v>
      </c>
      <c r="K154" s="14">
        <v>20.0</v>
      </c>
      <c r="L154" s="14">
        <v>17.0</v>
      </c>
      <c r="M154" s="14">
        <v>6.0</v>
      </c>
      <c r="N154" s="14">
        <v>6.0</v>
      </c>
      <c r="O154" s="14">
        <v>9.0</v>
      </c>
      <c r="P154" s="14">
        <f t="shared" si="1"/>
        <v>58</v>
      </c>
      <c r="Q154" s="14">
        <v>23.0</v>
      </c>
      <c r="R154" s="14">
        <v>21.0</v>
      </c>
      <c r="S154" s="14">
        <v>14.0</v>
      </c>
      <c r="T154" s="14">
        <v>10.0</v>
      </c>
      <c r="U154" s="14">
        <f t="shared" si="2"/>
        <v>68</v>
      </c>
      <c r="V154" s="14">
        <v>13.0</v>
      </c>
      <c r="W154" s="14">
        <v>4.0</v>
      </c>
      <c r="X154" s="14">
        <v>3.0</v>
      </c>
      <c r="Y154" s="14">
        <f t="shared" si="3"/>
        <v>20</v>
      </c>
      <c r="Z154" s="14">
        <v>0.0</v>
      </c>
      <c r="AA154" s="14">
        <v>0.0</v>
      </c>
      <c r="AB154" s="11">
        <f t="shared" si="4"/>
        <v>160</v>
      </c>
    </row>
    <row r="155" ht="15.75" customHeight="1">
      <c r="A155" s="11">
        <f>A154+1</f>
        <v>67</v>
      </c>
      <c r="B155" s="13" t="s">
        <v>49</v>
      </c>
      <c r="C155" s="11">
        <v>1.2028649E7</v>
      </c>
      <c r="D155" s="13" t="s">
        <v>391</v>
      </c>
      <c r="E155" s="11" t="s">
        <v>51</v>
      </c>
      <c r="F155" s="11" t="s">
        <v>145</v>
      </c>
      <c r="G155" s="11" t="s">
        <v>392</v>
      </c>
      <c r="H155" s="11">
        <v>35.0</v>
      </c>
      <c r="I155" s="11">
        <v>29.0</v>
      </c>
      <c r="J155" s="14">
        <v>0.0</v>
      </c>
      <c r="K155" s="14">
        <v>1.0</v>
      </c>
      <c r="L155" s="14">
        <v>6.0</v>
      </c>
      <c r="M155" s="14">
        <v>5.0</v>
      </c>
      <c r="N155" s="14">
        <v>12.0</v>
      </c>
      <c r="O155" s="14">
        <v>3.0</v>
      </c>
      <c r="P155" s="14">
        <f t="shared" si="1"/>
        <v>27</v>
      </c>
      <c r="Q155" s="14">
        <v>8.0</v>
      </c>
      <c r="R155" s="14">
        <v>14.0</v>
      </c>
      <c r="S155" s="14">
        <v>6.0</v>
      </c>
      <c r="T155" s="14">
        <v>9.0</v>
      </c>
      <c r="U155" s="14">
        <f t="shared" si="2"/>
        <v>37</v>
      </c>
      <c r="V155" s="14">
        <v>0.0</v>
      </c>
      <c r="W155" s="14">
        <v>0.0</v>
      </c>
      <c r="X155" s="14">
        <v>0.0</v>
      </c>
      <c r="Y155" s="14">
        <f t="shared" si="3"/>
        <v>0</v>
      </c>
      <c r="Z155" s="14">
        <v>0.0</v>
      </c>
      <c r="AA155" s="14">
        <v>0.0</v>
      </c>
      <c r="AB155" s="11">
        <f t="shared" si="4"/>
        <v>64</v>
      </c>
    </row>
    <row r="156" ht="15.75" customHeight="1">
      <c r="A156" s="11">
        <v>9.0</v>
      </c>
      <c r="B156" s="13" t="s">
        <v>47</v>
      </c>
      <c r="C156" s="11">
        <v>1.2033456E7</v>
      </c>
      <c r="D156" s="13" t="s">
        <v>393</v>
      </c>
      <c r="E156" s="11" t="s">
        <v>111</v>
      </c>
      <c r="F156" s="11" t="s">
        <v>280</v>
      </c>
      <c r="G156" s="11" t="s">
        <v>394</v>
      </c>
      <c r="H156" s="11">
        <v>11.0</v>
      </c>
      <c r="I156" s="11">
        <v>5.0</v>
      </c>
      <c r="J156" s="14">
        <v>0.0</v>
      </c>
      <c r="K156" s="14">
        <v>2.0</v>
      </c>
      <c r="L156" s="14">
        <v>1.0</v>
      </c>
      <c r="M156" s="14">
        <v>2.0</v>
      </c>
      <c r="N156" s="14">
        <v>2.0</v>
      </c>
      <c r="O156" s="14">
        <v>3.0</v>
      </c>
      <c r="P156" s="14">
        <f t="shared" si="1"/>
        <v>10</v>
      </c>
      <c r="Q156" s="14">
        <v>0.0</v>
      </c>
      <c r="R156" s="14">
        <v>0.0</v>
      </c>
      <c r="S156" s="14">
        <v>2.0</v>
      </c>
      <c r="T156" s="14">
        <v>4.0</v>
      </c>
      <c r="U156" s="14">
        <f t="shared" si="2"/>
        <v>6</v>
      </c>
      <c r="V156" s="14">
        <v>0.0</v>
      </c>
      <c r="W156" s="14">
        <v>0.0</v>
      </c>
      <c r="X156" s="14">
        <v>0.0</v>
      </c>
      <c r="Y156" s="14">
        <f t="shared" si="3"/>
        <v>0</v>
      </c>
      <c r="Z156" s="14">
        <v>0.0</v>
      </c>
      <c r="AA156" s="14">
        <v>0.0</v>
      </c>
      <c r="AB156" s="11">
        <f t="shared" si="4"/>
        <v>16</v>
      </c>
    </row>
    <row r="157" ht="15.75" customHeight="1">
      <c r="A157" s="11">
        <v>111.0</v>
      </c>
      <c r="B157" s="13" t="s">
        <v>129</v>
      </c>
      <c r="C157" s="11">
        <v>1.2034428E7</v>
      </c>
      <c r="D157" s="13" t="s">
        <v>395</v>
      </c>
      <c r="E157" s="11" t="s">
        <v>51</v>
      </c>
      <c r="F157" s="11" t="s">
        <v>93</v>
      </c>
      <c r="G157" s="11" t="s">
        <v>301</v>
      </c>
      <c r="H157" s="11">
        <v>6.0</v>
      </c>
      <c r="I157" s="11">
        <v>4.0</v>
      </c>
      <c r="J157" s="14">
        <v>0.0</v>
      </c>
      <c r="K157" s="14">
        <v>0.0</v>
      </c>
      <c r="L157" s="14">
        <v>6.0</v>
      </c>
      <c r="M157" s="14">
        <v>1.0</v>
      </c>
      <c r="N157" s="14">
        <v>1.0</v>
      </c>
      <c r="O157" s="14">
        <v>2.0</v>
      </c>
      <c r="P157" s="14">
        <f t="shared" si="1"/>
        <v>10</v>
      </c>
      <c r="Q157" s="14">
        <v>0.0</v>
      </c>
      <c r="R157" s="14">
        <v>0.0</v>
      </c>
      <c r="S157" s="14">
        <v>0.0</v>
      </c>
      <c r="T157" s="14">
        <v>0.0</v>
      </c>
      <c r="U157" s="14">
        <f t="shared" si="2"/>
        <v>0</v>
      </c>
      <c r="V157" s="14">
        <v>0.0</v>
      </c>
      <c r="W157" s="14">
        <v>0.0</v>
      </c>
      <c r="X157" s="14">
        <v>0.0</v>
      </c>
      <c r="Y157" s="14">
        <f t="shared" si="3"/>
        <v>0</v>
      </c>
      <c r="Z157" s="14">
        <v>0.0</v>
      </c>
      <c r="AA157" s="14">
        <v>0.0</v>
      </c>
      <c r="AB157" s="11">
        <f t="shared" si="4"/>
        <v>10</v>
      </c>
    </row>
    <row r="158" ht="15.75" customHeight="1">
      <c r="A158" s="11">
        <v>115.0</v>
      </c>
      <c r="B158" s="13" t="s">
        <v>59</v>
      </c>
      <c r="C158" s="11">
        <v>1.2029823E7</v>
      </c>
      <c r="D158" s="13" t="s">
        <v>396</v>
      </c>
      <c r="E158" s="11" t="s">
        <v>60</v>
      </c>
      <c r="F158" s="11" t="s">
        <v>294</v>
      </c>
      <c r="G158" s="11" t="s">
        <v>397</v>
      </c>
      <c r="H158" s="11">
        <v>2.0</v>
      </c>
      <c r="I158" s="11">
        <v>5.0</v>
      </c>
      <c r="J158" s="14">
        <v>0.0</v>
      </c>
      <c r="K158" s="14">
        <v>1.0</v>
      </c>
      <c r="L158" s="14">
        <v>2.0</v>
      </c>
      <c r="M158" s="14">
        <v>2.0</v>
      </c>
      <c r="N158" s="14">
        <v>1.0</v>
      </c>
      <c r="O158" s="14">
        <v>1.0</v>
      </c>
      <c r="P158" s="14">
        <f t="shared" si="1"/>
        <v>7</v>
      </c>
      <c r="Q158" s="14">
        <v>0.0</v>
      </c>
      <c r="R158" s="14">
        <v>0.0</v>
      </c>
      <c r="S158" s="14">
        <v>0.0</v>
      </c>
      <c r="T158" s="14">
        <v>0.0</v>
      </c>
      <c r="U158" s="14">
        <f t="shared" si="2"/>
        <v>0</v>
      </c>
      <c r="V158" s="14">
        <v>0.0</v>
      </c>
      <c r="W158" s="14">
        <v>0.0</v>
      </c>
      <c r="X158" s="14">
        <v>0.0</v>
      </c>
      <c r="Y158" s="14">
        <f t="shared" si="3"/>
        <v>0</v>
      </c>
      <c r="Z158" s="14">
        <v>0.0</v>
      </c>
      <c r="AA158" s="14">
        <v>0.0</v>
      </c>
      <c r="AB158" s="11">
        <f t="shared" si="4"/>
        <v>7</v>
      </c>
    </row>
    <row r="159" ht="15.75" customHeight="1">
      <c r="A159" s="11">
        <v>67.0</v>
      </c>
      <c r="B159" s="13" t="s">
        <v>49</v>
      </c>
      <c r="C159" s="11">
        <v>1.2032794E7</v>
      </c>
      <c r="D159" s="13" t="s">
        <v>398</v>
      </c>
      <c r="E159" s="11" t="s">
        <v>87</v>
      </c>
      <c r="F159" s="11" t="s">
        <v>88</v>
      </c>
      <c r="G159" s="11" t="s">
        <v>399</v>
      </c>
      <c r="H159" s="11">
        <v>37.0</v>
      </c>
      <c r="I159" s="11">
        <v>23.0</v>
      </c>
      <c r="J159" s="14">
        <v>0.0</v>
      </c>
      <c r="K159" s="14">
        <v>3.0</v>
      </c>
      <c r="L159" s="14">
        <v>0.0</v>
      </c>
      <c r="M159" s="14">
        <v>2.0</v>
      </c>
      <c r="N159" s="14">
        <v>4.0</v>
      </c>
      <c r="O159" s="14">
        <v>3.0</v>
      </c>
      <c r="P159" s="14">
        <f t="shared" si="1"/>
        <v>12</v>
      </c>
      <c r="Q159" s="14">
        <v>2.0</v>
      </c>
      <c r="R159" s="14">
        <v>5.0</v>
      </c>
      <c r="S159" s="14">
        <v>8.0</v>
      </c>
      <c r="T159" s="14">
        <v>2.0</v>
      </c>
      <c r="U159" s="14">
        <f t="shared" si="2"/>
        <v>17</v>
      </c>
      <c r="V159" s="14">
        <v>7.0</v>
      </c>
      <c r="W159" s="14">
        <v>12.0</v>
      </c>
      <c r="X159" s="14">
        <v>12.0</v>
      </c>
      <c r="Y159" s="14">
        <f t="shared" si="3"/>
        <v>31</v>
      </c>
      <c r="Z159" s="14">
        <v>0.0</v>
      </c>
      <c r="AA159" s="14">
        <v>0.0</v>
      </c>
      <c r="AB159" s="11">
        <f t="shared" si="4"/>
        <v>60</v>
      </c>
    </row>
    <row r="160" ht="15.75" customHeight="1">
      <c r="A160" s="11">
        <v>46.0</v>
      </c>
      <c r="B160" s="13" t="s">
        <v>49</v>
      </c>
      <c r="C160" s="11">
        <v>1.2027235E7</v>
      </c>
      <c r="D160" s="13" t="s">
        <v>400</v>
      </c>
      <c r="E160" s="11" t="s">
        <v>79</v>
      </c>
      <c r="F160" s="11" t="s">
        <v>189</v>
      </c>
      <c r="G160" s="11" t="s">
        <v>401</v>
      </c>
      <c r="H160" s="11">
        <v>38.0</v>
      </c>
      <c r="I160" s="11">
        <v>22.0</v>
      </c>
      <c r="J160" s="14">
        <v>0.0</v>
      </c>
      <c r="K160" s="14">
        <v>5.0</v>
      </c>
      <c r="L160" s="14">
        <v>8.0</v>
      </c>
      <c r="M160" s="14">
        <v>4.0</v>
      </c>
      <c r="N160" s="14">
        <v>5.0</v>
      </c>
      <c r="O160" s="14">
        <v>1.0</v>
      </c>
      <c r="P160" s="14">
        <f t="shared" si="1"/>
        <v>23</v>
      </c>
      <c r="Q160" s="14">
        <v>7.0</v>
      </c>
      <c r="R160" s="14">
        <v>6.0</v>
      </c>
      <c r="S160" s="14">
        <v>4.0</v>
      </c>
      <c r="T160" s="14">
        <v>1.0</v>
      </c>
      <c r="U160" s="14">
        <f t="shared" si="2"/>
        <v>18</v>
      </c>
      <c r="V160" s="14">
        <v>3.0</v>
      </c>
      <c r="W160" s="14">
        <v>5.0</v>
      </c>
      <c r="X160" s="14">
        <v>11.0</v>
      </c>
      <c r="Y160" s="14">
        <f t="shared" si="3"/>
        <v>19</v>
      </c>
      <c r="Z160" s="14">
        <v>0.0</v>
      </c>
      <c r="AA160" s="14">
        <v>0.0</v>
      </c>
      <c r="AB160" s="11">
        <f t="shared" si="4"/>
        <v>60</v>
      </c>
    </row>
    <row r="161" ht="15.75" customHeight="1">
      <c r="A161" s="11">
        <v>55.0</v>
      </c>
      <c r="B161" s="13" t="s">
        <v>49</v>
      </c>
      <c r="C161" s="11">
        <v>1.203374E7</v>
      </c>
      <c r="D161" s="13" t="s">
        <v>402</v>
      </c>
      <c r="E161" s="11" t="s">
        <v>79</v>
      </c>
      <c r="F161" s="11" t="s">
        <v>88</v>
      </c>
      <c r="G161" s="11" t="s">
        <v>403</v>
      </c>
      <c r="H161" s="11">
        <v>25.0</v>
      </c>
      <c r="I161" s="11">
        <v>27.0</v>
      </c>
      <c r="J161" s="14">
        <v>0.0</v>
      </c>
      <c r="K161" s="14">
        <v>1.0</v>
      </c>
      <c r="L161" s="14">
        <v>9.0</v>
      </c>
      <c r="M161" s="14">
        <v>6.0</v>
      </c>
      <c r="N161" s="14">
        <v>7.0</v>
      </c>
      <c r="O161" s="14">
        <v>5.0</v>
      </c>
      <c r="P161" s="14">
        <f t="shared" si="1"/>
        <v>28</v>
      </c>
      <c r="Q161" s="14">
        <v>7.0</v>
      </c>
      <c r="R161" s="14">
        <v>7.0</v>
      </c>
      <c r="S161" s="14">
        <v>7.0</v>
      </c>
      <c r="T161" s="14">
        <v>3.0</v>
      </c>
      <c r="U161" s="14">
        <f t="shared" si="2"/>
        <v>24</v>
      </c>
      <c r="V161" s="14">
        <v>0.0</v>
      </c>
      <c r="W161" s="14">
        <v>0.0</v>
      </c>
      <c r="X161" s="14">
        <v>0.0</v>
      </c>
      <c r="Y161" s="14">
        <f t="shared" si="3"/>
        <v>0</v>
      </c>
      <c r="Z161" s="14">
        <v>0.0</v>
      </c>
      <c r="AA161" s="14">
        <v>0.0</v>
      </c>
      <c r="AB161" s="11">
        <f t="shared" si="4"/>
        <v>52</v>
      </c>
    </row>
    <row r="162" ht="15.75" customHeight="1">
      <c r="A162" s="11">
        <v>104.0</v>
      </c>
      <c r="B162" s="13" t="s">
        <v>129</v>
      </c>
      <c r="C162" s="11">
        <v>1.2033294E7</v>
      </c>
      <c r="D162" s="13" t="s">
        <v>404</v>
      </c>
      <c r="E162" s="11" t="s">
        <v>79</v>
      </c>
      <c r="F162" s="11" t="s">
        <v>93</v>
      </c>
      <c r="G162" s="11" t="s">
        <v>373</v>
      </c>
      <c r="H162" s="11">
        <v>5.0</v>
      </c>
      <c r="I162" s="11">
        <v>11.0</v>
      </c>
      <c r="J162" s="14">
        <v>0.0</v>
      </c>
      <c r="K162" s="14">
        <v>0.0</v>
      </c>
      <c r="L162" s="14">
        <v>0.0</v>
      </c>
      <c r="M162" s="14">
        <v>0.0</v>
      </c>
      <c r="N162" s="14">
        <v>0.0</v>
      </c>
      <c r="O162" s="14">
        <v>0.0</v>
      </c>
      <c r="P162" s="14">
        <f t="shared" si="1"/>
        <v>0</v>
      </c>
      <c r="Q162" s="14">
        <v>0.0</v>
      </c>
      <c r="R162" s="14">
        <v>0.0</v>
      </c>
      <c r="S162" s="14">
        <v>0.0</v>
      </c>
      <c r="T162" s="14">
        <v>0.0</v>
      </c>
      <c r="U162" s="14">
        <f t="shared" si="2"/>
        <v>0</v>
      </c>
      <c r="V162" s="14">
        <v>5.0</v>
      </c>
      <c r="W162" s="14">
        <v>6.0</v>
      </c>
      <c r="X162" s="14">
        <v>5.0</v>
      </c>
      <c r="Y162" s="14">
        <f t="shared" si="3"/>
        <v>16</v>
      </c>
      <c r="Z162" s="14">
        <v>0.0</v>
      </c>
      <c r="AA162" s="14">
        <v>0.0</v>
      </c>
      <c r="AB162" s="11">
        <f t="shared" si="4"/>
        <v>16</v>
      </c>
    </row>
    <row r="163" ht="15.75" customHeight="1">
      <c r="A163" s="11">
        <v>134.0</v>
      </c>
      <c r="B163" s="13" t="s">
        <v>118</v>
      </c>
      <c r="C163" s="11">
        <v>1.2029106E7</v>
      </c>
      <c r="D163" s="13" t="s">
        <v>405</v>
      </c>
      <c r="E163" s="11" t="s">
        <v>79</v>
      </c>
      <c r="F163" s="11" t="s">
        <v>204</v>
      </c>
      <c r="G163" s="11" t="s">
        <v>406</v>
      </c>
      <c r="H163" s="11">
        <v>10.0</v>
      </c>
      <c r="I163" s="11">
        <v>9.0</v>
      </c>
      <c r="J163" s="14">
        <v>0.0</v>
      </c>
      <c r="K163" s="14">
        <v>3.0</v>
      </c>
      <c r="L163" s="14">
        <v>1.0</v>
      </c>
      <c r="M163" s="14">
        <v>3.0</v>
      </c>
      <c r="N163" s="14">
        <v>4.0</v>
      </c>
      <c r="O163" s="14">
        <v>0.0</v>
      </c>
      <c r="P163" s="14">
        <f t="shared" si="1"/>
        <v>11</v>
      </c>
      <c r="Q163" s="14">
        <v>1.0</v>
      </c>
      <c r="R163" s="14">
        <v>0.0</v>
      </c>
      <c r="S163" s="14">
        <v>0.0</v>
      </c>
      <c r="T163" s="14">
        <v>7.0</v>
      </c>
      <c r="U163" s="14">
        <f t="shared" si="2"/>
        <v>8</v>
      </c>
      <c r="V163" s="14">
        <v>0.0</v>
      </c>
      <c r="W163" s="14">
        <v>0.0</v>
      </c>
      <c r="X163" s="14">
        <v>0.0</v>
      </c>
      <c r="Y163" s="14">
        <f t="shared" si="3"/>
        <v>0</v>
      </c>
      <c r="Z163" s="14">
        <v>0.0</v>
      </c>
      <c r="AA163" s="14">
        <v>0.0</v>
      </c>
      <c r="AB163" s="11">
        <f t="shared" si="4"/>
        <v>19</v>
      </c>
    </row>
    <row r="164" ht="15.75" customHeight="1">
      <c r="A164" s="11" t="s">
        <v>36</v>
      </c>
      <c r="B164" s="13" t="s">
        <v>118</v>
      </c>
      <c r="C164" s="11">
        <v>1.2029106E7</v>
      </c>
      <c r="D164" s="13" t="s">
        <v>407</v>
      </c>
      <c r="E164" s="11" t="s">
        <v>79</v>
      </c>
      <c r="F164" s="11" t="s">
        <v>204</v>
      </c>
      <c r="G164" s="11" t="s">
        <v>408</v>
      </c>
      <c r="H164" s="11">
        <v>13.0</v>
      </c>
      <c r="I164" s="11">
        <v>10.0</v>
      </c>
      <c r="J164" s="14">
        <v>0.0</v>
      </c>
      <c r="K164" s="14">
        <v>1.0</v>
      </c>
      <c r="L164" s="14">
        <v>2.0</v>
      </c>
      <c r="M164" s="14">
        <v>0.0</v>
      </c>
      <c r="N164" s="14">
        <v>1.0</v>
      </c>
      <c r="O164" s="14">
        <v>5.0</v>
      </c>
      <c r="P164" s="14">
        <f t="shared" si="1"/>
        <v>9</v>
      </c>
      <c r="Q164" s="14">
        <v>4.0</v>
      </c>
      <c r="R164" s="14">
        <v>6.0</v>
      </c>
      <c r="S164" s="14">
        <v>4.0</v>
      </c>
      <c r="T164" s="14">
        <v>0.0</v>
      </c>
      <c r="U164" s="14">
        <f t="shared" si="2"/>
        <v>14</v>
      </c>
      <c r="V164" s="14">
        <v>0.0</v>
      </c>
      <c r="W164" s="14">
        <v>0.0</v>
      </c>
      <c r="X164" s="14">
        <v>0.0</v>
      </c>
      <c r="Y164" s="14">
        <f t="shared" si="3"/>
        <v>0</v>
      </c>
      <c r="Z164" s="14">
        <v>0.0</v>
      </c>
      <c r="AA164" s="14">
        <v>0.0</v>
      </c>
      <c r="AB164" s="11">
        <f t="shared" si="4"/>
        <v>23</v>
      </c>
    </row>
    <row r="165" ht="15.75" customHeight="1">
      <c r="A165" s="11">
        <v>50.0</v>
      </c>
      <c r="B165" s="13" t="s">
        <v>49</v>
      </c>
      <c r="C165" s="11">
        <v>1.2033731E7</v>
      </c>
      <c r="D165" s="13" t="s">
        <v>409</v>
      </c>
      <c r="E165" s="11" t="s">
        <v>79</v>
      </c>
      <c r="F165" s="11" t="s">
        <v>197</v>
      </c>
      <c r="G165" s="11" t="s">
        <v>410</v>
      </c>
      <c r="H165" s="11">
        <v>27.0</v>
      </c>
      <c r="I165" s="11">
        <v>31.0</v>
      </c>
      <c r="J165" s="14">
        <v>0.0</v>
      </c>
      <c r="K165" s="14">
        <v>4.0</v>
      </c>
      <c r="L165" s="14">
        <v>5.0</v>
      </c>
      <c r="M165" s="14">
        <v>9.0</v>
      </c>
      <c r="N165" s="14">
        <v>2.0</v>
      </c>
      <c r="O165" s="14">
        <v>6.0</v>
      </c>
      <c r="P165" s="14">
        <f t="shared" si="1"/>
        <v>26</v>
      </c>
      <c r="Q165" s="14">
        <v>11.0</v>
      </c>
      <c r="R165" s="14">
        <v>7.0</v>
      </c>
      <c r="S165" s="14">
        <v>9.0</v>
      </c>
      <c r="T165" s="14">
        <v>5.0</v>
      </c>
      <c r="U165" s="14">
        <f t="shared" si="2"/>
        <v>32</v>
      </c>
      <c r="V165" s="14">
        <v>0.0</v>
      </c>
      <c r="W165" s="14">
        <v>0.0</v>
      </c>
      <c r="X165" s="14">
        <v>0.0</v>
      </c>
      <c r="Y165" s="14">
        <f t="shared" si="3"/>
        <v>0</v>
      </c>
      <c r="Z165" s="14">
        <v>0.0</v>
      </c>
      <c r="AA165" s="14">
        <v>0.0</v>
      </c>
      <c r="AB165" s="11">
        <f t="shared" si="4"/>
        <v>58</v>
      </c>
    </row>
    <row r="166" ht="15.75" customHeight="1">
      <c r="A166" s="11" t="s">
        <v>36</v>
      </c>
      <c r="B166" s="23" t="s">
        <v>49</v>
      </c>
      <c r="C166" s="24">
        <v>1.2033731E7</v>
      </c>
      <c r="D166" s="23" t="s">
        <v>411</v>
      </c>
      <c r="E166" s="24" t="s">
        <v>79</v>
      </c>
      <c r="F166" s="24" t="s">
        <v>197</v>
      </c>
      <c r="G166" s="24" t="s">
        <v>412</v>
      </c>
      <c r="H166" s="11">
        <v>4.0</v>
      </c>
      <c r="I166" s="11">
        <v>5.0</v>
      </c>
      <c r="J166" s="14">
        <v>0.0</v>
      </c>
      <c r="K166" s="14">
        <v>1.0</v>
      </c>
      <c r="L166" s="14">
        <v>2.0</v>
      </c>
      <c r="M166" s="14">
        <v>0.0</v>
      </c>
      <c r="N166" s="14">
        <v>2.0</v>
      </c>
      <c r="O166" s="14">
        <v>4.0</v>
      </c>
      <c r="P166" s="14">
        <f t="shared" si="1"/>
        <v>9</v>
      </c>
      <c r="Q166" s="14">
        <v>0.0</v>
      </c>
      <c r="R166" s="14">
        <v>0.0</v>
      </c>
      <c r="S166" s="14">
        <v>0.0</v>
      </c>
      <c r="T166" s="14">
        <v>0.0</v>
      </c>
      <c r="U166" s="14">
        <f t="shared" si="2"/>
        <v>0</v>
      </c>
      <c r="V166" s="14">
        <v>0.0</v>
      </c>
      <c r="W166" s="14">
        <v>0.0</v>
      </c>
      <c r="X166" s="14">
        <v>0.0</v>
      </c>
      <c r="Y166" s="14">
        <f t="shared" si="3"/>
        <v>0</v>
      </c>
      <c r="Z166" s="14">
        <v>0.0</v>
      </c>
      <c r="AA166" s="14">
        <v>0.0</v>
      </c>
      <c r="AB166" s="11">
        <f t="shared" si="4"/>
        <v>9</v>
      </c>
    </row>
    <row r="167" ht="15.75" customHeight="1">
      <c r="A167" s="11">
        <v>74.0</v>
      </c>
      <c r="B167" s="13" t="s">
        <v>108</v>
      </c>
      <c r="C167" s="11">
        <v>1.2020036E7</v>
      </c>
      <c r="D167" s="13" t="s">
        <v>413</v>
      </c>
      <c r="E167" s="11" t="s">
        <v>79</v>
      </c>
      <c r="F167" s="11" t="s">
        <v>219</v>
      </c>
      <c r="G167" s="11" t="s">
        <v>414</v>
      </c>
      <c r="H167" s="11">
        <v>32.0</v>
      </c>
      <c r="I167" s="11">
        <v>25.0</v>
      </c>
      <c r="J167" s="14">
        <v>0.0</v>
      </c>
      <c r="K167" s="14">
        <v>7.0</v>
      </c>
      <c r="L167" s="14">
        <v>5.0</v>
      </c>
      <c r="M167" s="14">
        <v>2.0</v>
      </c>
      <c r="N167" s="14">
        <v>6.0</v>
      </c>
      <c r="O167" s="14">
        <v>4.0</v>
      </c>
      <c r="P167" s="14">
        <f t="shared" si="1"/>
        <v>24</v>
      </c>
      <c r="Q167" s="14">
        <v>12.0</v>
      </c>
      <c r="R167" s="14">
        <v>8.0</v>
      </c>
      <c r="S167" s="14">
        <v>12.0</v>
      </c>
      <c r="T167" s="14">
        <v>1.0</v>
      </c>
      <c r="U167" s="14">
        <f t="shared" si="2"/>
        <v>33</v>
      </c>
      <c r="V167" s="14">
        <v>0.0</v>
      </c>
      <c r="W167" s="14">
        <v>0.0</v>
      </c>
      <c r="X167" s="14">
        <v>0.0</v>
      </c>
      <c r="Y167" s="14">
        <f t="shared" si="3"/>
        <v>0</v>
      </c>
      <c r="Z167" s="14">
        <v>0.0</v>
      </c>
      <c r="AA167" s="14">
        <v>0.0</v>
      </c>
      <c r="AB167" s="11">
        <f t="shared" si="4"/>
        <v>57</v>
      </c>
    </row>
    <row r="168" ht="15.75" customHeight="1">
      <c r="A168" s="11">
        <v>6.0</v>
      </c>
      <c r="B168" s="13" t="s">
        <v>47</v>
      </c>
      <c r="C168" s="11">
        <v>1.203195E7</v>
      </c>
      <c r="D168" s="13" t="s">
        <v>415</v>
      </c>
      <c r="E168" s="11" t="s">
        <v>60</v>
      </c>
      <c r="F168" s="11" t="s">
        <v>280</v>
      </c>
      <c r="G168" s="11" t="s">
        <v>107</v>
      </c>
      <c r="H168" s="11">
        <v>7.0</v>
      </c>
      <c r="I168" s="11">
        <v>5.0</v>
      </c>
      <c r="J168" s="14">
        <v>0.0</v>
      </c>
      <c r="K168" s="14">
        <v>1.0</v>
      </c>
      <c r="L168" s="14">
        <v>5.0</v>
      </c>
      <c r="M168" s="14">
        <v>0.0</v>
      </c>
      <c r="N168" s="14">
        <v>1.0</v>
      </c>
      <c r="O168" s="14">
        <v>5.0</v>
      </c>
      <c r="P168" s="14">
        <f t="shared" si="1"/>
        <v>12</v>
      </c>
      <c r="Q168" s="14">
        <v>0.0</v>
      </c>
      <c r="R168" s="14">
        <v>0.0</v>
      </c>
      <c r="S168" s="14">
        <v>0.0</v>
      </c>
      <c r="T168" s="14">
        <v>0.0</v>
      </c>
      <c r="U168" s="14">
        <f t="shared" si="2"/>
        <v>0</v>
      </c>
      <c r="V168" s="14">
        <v>0.0</v>
      </c>
      <c r="W168" s="14">
        <v>0.0</v>
      </c>
      <c r="X168" s="14">
        <v>0.0</v>
      </c>
      <c r="Y168" s="14">
        <f t="shared" si="3"/>
        <v>0</v>
      </c>
      <c r="Z168" s="14">
        <v>0.0</v>
      </c>
      <c r="AA168" s="14">
        <v>0.0</v>
      </c>
      <c r="AB168" s="11">
        <f t="shared" si="4"/>
        <v>12</v>
      </c>
    </row>
    <row r="169" ht="15.75" customHeight="1">
      <c r="A169" s="11">
        <v>142.0</v>
      </c>
      <c r="B169" s="13" t="s">
        <v>118</v>
      </c>
      <c r="C169" s="11">
        <v>1.203214E7</v>
      </c>
      <c r="D169" s="13" t="s">
        <v>416</v>
      </c>
      <c r="E169" s="11" t="s">
        <v>171</v>
      </c>
      <c r="F169" s="11" t="s">
        <v>172</v>
      </c>
      <c r="G169" s="11" t="s">
        <v>382</v>
      </c>
      <c r="H169" s="11">
        <v>27.0</v>
      </c>
      <c r="I169" s="11">
        <v>22.0</v>
      </c>
      <c r="J169" s="14">
        <v>0.0</v>
      </c>
      <c r="K169" s="14">
        <v>1.0</v>
      </c>
      <c r="L169" s="14">
        <v>3.0</v>
      </c>
      <c r="M169" s="14">
        <v>4.0</v>
      </c>
      <c r="N169" s="14">
        <v>4.0</v>
      </c>
      <c r="O169" s="14">
        <v>2.0</v>
      </c>
      <c r="P169" s="14">
        <f t="shared" si="1"/>
        <v>14</v>
      </c>
      <c r="Q169" s="14">
        <v>2.0</v>
      </c>
      <c r="R169" s="14">
        <v>1.0</v>
      </c>
      <c r="S169" s="14">
        <v>5.0</v>
      </c>
      <c r="T169" s="14">
        <v>4.0</v>
      </c>
      <c r="U169" s="14">
        <f t="shared" si="2"/>
        <v>12</v>
      </c>
      <c r="V169" s="14">
        <v>23.0</v>
      </c>
      <c r="W169" s="14">
        <v>0.0</v>
      </c>
      <c r="X169" s="14">
        <v>0.0</v>
      </c>
      <c r="Y169" s="14">
        <f t="shared" si="3"/>
        <v>23</v>
      </c>
      <c r="Z169" s="14">
        <v>0.0</v>
      </c>
      <c r="AA169" s="14">
        <v>0.0</v>
      </c>
      <c r="AB169" s="11">
        <f t="shared" si="4"/>
        <v>49</v>
      </c>
    </row>
    <row r="170" ht="15.75" customHeight="1">
      <c r="A170" s="11">
        <v>143.0</v>
      </c>
      <c r="B170" s="13" t="s">
        <v>118</v>
      </c>
      <c r="C170" s="11">
        <v>1.2029114E7</v>
      </c>
      <c r="D170" s="13" t="s">
        <v>417</v>
      </c>
      <c r="E170" s="11" t="s">
        <v>171</v>
      </c>
      <c r="F170" s="11" t="s">
        <v>172</v>
      </c>
      <c r="G170" s="11" t="s">
        <v>233</v>
      </c>
      <c r="H170" s="11">
        <v>8.0</v>
      </c>
      <c r="I170" s="11">
        <v>10.0</v>
      </c>
      <c r="J170" s="14">
        <v>1.0</v>
      </c>
      <c r="K170" s="14">
        <v>4.0</v>
      </c>
      <c r="L170" s="14">
        <v>0.0</v>
      </c>
      <c r="M170" s="14">
        <v>7.0</v>
      </c>
      <c r="N170" s="14">
        <v>1.0</v>
      </c>
      <c r="O170" s="14">
        <v>3.0</v>
      </c>
      <c r="P170" s="14">
        <f t="shared" si="1"/>
        <v>15</v>
      </c>
      <c r="Q170" s="14">
        <v>0.0</v>
      </c>
      <c r="R170" s="14">
        <v>1.0</v>
      </c>
      <c r="S170" s="14">
        <v>1.0</v>
      </c>
      <c r="T170" s="14">
        <v>0.0</v>
      </c>
      <c r="U170" s="14">
        <f t="shared" si="2"/>
        <v>2</v>
      </c>
      <c r="V170" s="14">
        <v>0.0</v>
      </c>
      <c r="W170" s="14">
        <v>0.0</v>
      </c>
      <c r="X170" s="14">
        <v>0.0</v>
      </c>
      <c r="Y170" s="14">
        <f t="shared" si="3"/>
        <v>0</v>
      </c>
      <c r="Z170" s="14">
        <v>0.0</v>
      </c>
      <c r="AA170" s="14">
        <v>0.0</v>
      </c>
      <c r="AB170" s="11">
        <f t="shared" si="4"/>
        <v>18</v>
      </c>
    </row>
    <row r="171" ht="15.75" customHeight="1">
      <c r="A171" s="11">
        <v>144.0</v>
      </c>
      <c r="B171" s="13" t="s">
        <v>118</v>
      </c>
      <c r="C171" s="11">
        <v>1.2023345E7</v>
      </c>
      <c r="D171" s="13" t="s">
        <v>418</v>
      </c>
      <c r="E171" s="11" t="s">
        <v>171</v>
      </c>
      <c r="F171" s="11" t="s">
        <v>172</v>
      </c>
      <c r="G171" s="11" t="s">
        <v>419</v>
      </c>
      <c r="H171" s="11">
        <v>16.0</v>
      </c>
      <c r="I171" s="11">
        <v>21.0</v>
      </c>
      <c r="J171" s="14">
        <v>1.0</v>
      </c>
      <c r="K171" s="14">
        <v>3.0</v>
      </c>
      <c r="L171" s="14">
        <v>0.0</v>
      </c>
      <c r="M171" s="14">
        <v>7.0</v>
      </c>
      <c r="N171" s="14">
        <v>0.0</v>
      </c>
      <c r="O171" s="14">
        <v>2.0</v>
      </c>
      <c r="P171" s="14">
        <f t="shared" si="1"/>
        <v>12</v>
      </c>
      <c r="Q171" s="14">
        <v>3.0</v>
      </c>
      <c r="R171" s="14">
        <v>3.0</v>
      </c>
      <c r="S171" s="14">
        <v>2.0</v>
      </c>
      <c r="T171" s="14">
        <v>1.0</v>
      </c>
      <c r="U171" s="14">
        <f t="shared" si="2"/>
        <v>9</v>
      </c>
      <c r="V171" s="14">
        <v>6.0</v>
      </c>
      <c r="W171" s="14">
        <v>8.0</v>
      </c>
      <c r="X171" s="14">
        <v>1.0</v>
      </c>
      <c r="Y171" s="14">
        <f t="shared" si="3"/>
        <v>15</v>
      </c>
      <c r="Z171" s="14">
        <v>0.0</v>
      </c>
      <c r="AA171" s="14">
        <v>0.0</v>
      </c>
      <c r="AB171" s="11">
        <f t="shared" si="4"/>
        <v>37</v>
      </c>
    </row>
    <row r="172" ht="15.75" customHeight="1">
      <c r="A172" s="11" t="s">
        <v>36</v>
      </c>
      <c r="B172" s="13" t="s">
        <v>118</v>
      </c>
      <c r="C172" s="11">
        <v>1.2023345E7</v>
      </c>
      <c r="D172" s="13" t="s">
        <v>420</v>
      </c>
      <c r="E172" s="11" t="s">
        <v>171</v>
      </c>
      <c r="F172" s="11" t="s">
        <v>172</v>
      </c>
      <c r="G172" s="11" t="s">
        <v>421</v>
      </c>
      <c r="H172" s="11">
        <v>4.0</v>
      </c>
      <c r="I172" s="11">
        <v>6.0</v>
      </c>
      <c r="J172" s="14">
        <v>0.0</v>
      </c>
      <c r="K172" s="14">
        <v>1.0</v>
      </c>
      <c r="L172" s="14">
        <v>2.0</v>
      </c>
      <c r="M172" s="14">
        <v>2.0</v>
      </c>
      <c r="N172" s="14">
        <v>2.0</v>
      </c>
      <c r="O172" s="14">
        <v>0.0</v>
      </c>
      <c r="P172" s="14">
        <f t="shared" si="1"/>
        <v>7</v>
      </c>
      <c r="Q172" s="14">
        <v>1.0</v>
      </c>
      <c r="R172" s="14">
        <v>0.0</v>
      </c>
      <c r="S172" s="14">
        <v>1.0</v>
      </c>
      <c r="T172" s="14">
        <v>1.0</v>
      </c>
      <c r="U172" s="14">
        <f t="shared" si="2"/>
        <v>3</v>
      </c>
      <c r="V172" s="14">
        <v>0.0</v>
      </c>
      <c r="W172" s="14">
        <v>0.0</v>
      </c>
      <c r="X172" s="14">
        <v>0.0</v>
      </c>
      <c r="Y172" s="14">
        <f t="shared" si="3"/>
        <v>0</v>
      </c>
      <c r="Z172" s="14">
        <v>0.0</v>
      </c>
      <c r="AA172" s="14">
        <v>0.0</v>
      </c>
      <c r="AB172" s="11">
        <f t="shared" si="4"/>
        <v>10</v>
      </c>
    </row>
    <row r="173" ht="15.75" customHeight="1">
      <c r="A173" s="11" t="s">
        <v>36</v>
      </c>
      <c r="B173" s="13" t="s">
        <v>118</v>
      </c>
      <c r="C173" s="11">
        <v>1.2023345E7</v>
      </c>
      <c r="D173" s="13" t="s">
        <v>422</v>
      </c>
      <c r="E173" s="11" t="s">
        <v>171</v>
      </c>
      <c r="F173" s="11" t="s">
        <v>172</v>
      </c>
      <c r="G173" s="11" t="s">
        <v>423</v>
      </c>
      <c r="H173" s="11">
        <v>3.0</v>
      </c>
      <c r="I173" s="11">
        <v>2.0</v>
      </c>
      <c r="J173" s="14">
        <v>0.0</v>
      </c>
      <c r="K173" s="14">
        <v>0.0</v>
      </c>
      <c r="L173" s="14">
        <v>0.0</v>
      </c>
      <c r="M173" s="14">
        <v>2.0</v>
      </c>
      <c r="N173" s="14">
        <v>0.0</v>
      </c>
      <c r="O173" s="14">
        <v>1.0</v>
      </c>
      <c r="P173" s="14">
        <f t="shared" si="1"/>
        <v>3</v>
      </c>
      <c r="Q173" s="14">
        <v>1.0</v>
      </c>
      <c r="R173" s="14">
        <v>0.0</v>
      </c>
      <c r="S173" s="14">
        <v>1.0</v>
      </c>
      <c r="T173" s="14">
        <v>0.0</v>
      </c>
      <c r="U173" s="14">
        <f t="shared" si="2"/>
        <v>2</v>
      </c>
      <c r="V173" s="14">
        <v>0.0</v>
      </c>
      <c r="W173" s="14">
        <v>0.0</v>
      </c>
      <c r="X173" s="14">
        <v>0.0</v>
      </c>
      <c r="Y173" s="14">
        <f t="shared" si="3"/>
        <v>0</v>
      </c>
      <c r="Z173" s="14">
        <v>0.0</v>
      </c>
      <c r="AA173" s="14">
        <v>0.0</v>
      </c>
      <c r="AB173" s="11">
        <f t="shared" si="4"/>
        <v>5</v>
      </c>
    </row>
    <row r="174" ht="15.75" customHeight="1">
      <c r="A174" s="11" t="s">
        <v>36</v>
      </c>
      <c r="B174" s="13" t="s">
        <v>118</v>
      </c>
      <c r="C174" s="11">
        <v>1.2023345E7</v>
      </c>
      <c r="D174" s="13" t="s">
        <v>424</v>
      </c>
      <c r="E174" s="11" t="s">
        <v>171</v>
      </c>
      <c r="F174" s="11" t="s">
        <v>172</v>
      </c>
      <c r="G174" s="11" t="s">
        <v>425</v>
      </c>
      <c r="H174" s="11">
        <v>4.0</v>
      </c>
      <c r="I174" s="11">
        <v>4.0</v>
      </c>
      <c r="J174" s="14">
        <v>0.0</v>
      </c>
      <c r="K174" s="14">
        <v>0.0</v>
      </c>
      <c r="L174" s="14">
        <v>1.0</v>
      </c>
      <c r="M174" s="14">
        <v>2.0</v>
      </c>
      <c r="N174" s="14">
        <v>0.0</v>
      </c>
      <c r="O174" s="14">
        <v>5.0</v>
      </c>
      <c r="P174" s="14">
        <f t="shared" si="1"/>
        <v>8</v>
      </c>
      <c r="Q174" s="14">
        <v>0.0</v>
      </c>
      <c r="R174" s="14">
        <v>0.0</v>
      </c>
      <c r="S174" s="14">
        <v>0.0</v>
      </c>
      <c r="T174" s="14">
        <v>0.0</v>
      </c>
      <c r="U174" s="14">
        <f t="shared" si="2"/>
        <v>0</v>
      </c>
      <c r="V174" s="14">
        <v>0.0</v>
      </c>
      <c r="W174" s="14">
        <v>0.0</v>
      </c>
      <c r="X174" s="14">
        <v>0.0</v>
      </c>
      <c r="Y174" s="14">
        <f t="shared" si="3"/>
        <v>0</v>
      </c>
      <c r="Z174" s="14">
        <v>0.0</v>
      </c>
      <c r="AA174" s="14">
        <v>0.0</v>
      </c>
      <c r="AB174" s="11">
        <f t="shared" si="4"/>
        <v>8</v>
      </c>
    </row>
    <row r="175" ht="15.75" customHeight="1">
      <c r="A175" s="11">
        <v>3.0</v>
      </c>
      <c r="B175" s="13" t="s">
        <v>47</v>
      </c>
      <c r="C175" s="11">
        <v>1.203343E7</v>
      </c>
      <c r="D175" s="13" t="s">
        <v>426</v>
      </c>
      <c r="E175" s="11" t="s">
        <v>60</v>
      </c>
      <c r="F175" s="11" t="s">
        <v>180</v>
      </c>
      <c r="G175" s="11" t="s">
        <v>427</v>
      </c>
      <c r="H175" s="11">
        <v>7.0</v>
      </c>
      <c r="I175" s="11">
        <v>5.0</v>
      </c>
      <c r="J175" s="14">
        <v>0.0</v>
      </c>
      <c r="K175" s="14">
        <v>1.0</v>
      </c>
      <c r="L175" s="14">
        <v>3.0</v>
      </c>
      <c r="M175" s="14">
        <v>1.0</v>
      </c>
      <c r="N175" s="14">
        <v>6.0</v>
      </c>
      <c r="O175" s="14">
        <v>1.0</v>
      </c>
      <c r="P175" s="14">
        <f t="shared" si="1"/>
        <v>12</v>
      </c>
      <c r="Q175" s="14">
        <v>0.0</v>
      </c>
      <c r="R175" s="14">
        <v>0.0</v>
      </c>
      <c r="S175" s="14">
        <v>0.0</v>
      </c>
      <c r="T175" s="14">
        <v>0.0</v>
      </c>
      <c r="U175" s="14">
        <f t="shared" si="2"/>
        <v>0</v>
      </c>
      <c r="V175" s="14">
        <v>0.0</v>
      </c>
      <c r="W175" s="14">
        <v>0.0</v>
      </c>
      <c r="X175" s="14">
        <v>0.0</v>
      </c>
      <c r="Y175" s="14">
        <f t="shared" si="3"/>
        <v>0</v>
      </c>
      <c r="Z175" s="14">
        <v>0.0</v>
      </c>
      <c r="AA175" s="14">
        <v>0.0</v>
      </c>
      <c r="AB175" s="11">
        <f t="shared" si="4"/>
        <v>12</v>
      </c>
    </row>
    <row r="176" ht="15.75" customHeight="1">
      <c r="A176" s="11">
        <v>119.0</v>
      </c>
      <c r="B176" s="13" t="s">
        <v>59</v>
      </c>
      <c r="C176" s="11">
        <v>1.2033154E7</v>
      </c>
      <c r="D176" s="13" t="s">
        <v>428</v>
      </c>
      <c r="E176" s="11" t="s">
        <v>60</v>
      </c>
      <c r="F176" s="11" t="s">
        <v>139</v>
      </c>
      <c r="G176" s="11" t="s">
        <v>429</v>
      </c>
      <c r="H176" s="11">
        <v>5.0</v>
      </c>
      <c r="I176" s="11">
        <v>2.0</v>
      </c>
      <c r="J176" s="14">
        <v>0.0</v>
      </c>
      <c r="K176" s="14">
        <v>0.0</v>
      </c>
      <c r="L176" s="14">
        <v>2.0</v>
      </c>
      <c r="M176" s="14">
        <v>1.0</v>
      </c>
      <c r="N176" s="14">
        <v>1.0</v>
      </c>
      <c r="O176" s="14">
        <v>3.0</v>
      </c>
      <c r="P176" s="14">
        <f t="shared" si="1"/>
        <v>7</v>
      </c>
      <c r="Q176" s="14">
        <v>0.0</v>
      </c>
      <c r="R176" s="14">
        <v>0.0</v>
      </c>
      <c r="S176" s="14">
        <v>0.0</v>
      </c>
      <c r="T176" s="14">
        <v>0.0</v>
      </c>
      <c r="U176" s="14">
        <f t="shared" si="2"/>
        <v>0</v>
      </c>
      <c r="V176" s="14">
        <v>0.0</v>
      </c>
      <c r="W176" s="14">
        <v>0.0</v>
      </c>
      <c r="X176" s="14">
        <v>0.0</v>
      </c>
      <c r="Y176" s="14">
        <f t="shared" si="3"/>
        <v>0</v>
      </c>
      <c r="Z176" s="14">
        <v>0.0</v>
      </c>
      <c r="AA176" s="14">
        <v>0.0</v>
      </c>
      <c r="AB176" s="11">
        <f t="shared" si="4"/>
        <v>7</v>
      </c>
    </row>
    <row r="177" ht="15.75" customHeight="1">
      <c r="A177" s="11">
        <v>22.0</v>
      </c>
      <c r="B177" s="13" t="s">
        <v>47</v>
      </c>
      <c r="C177" s="11">
        <v>1.203222E7</v>
      </c>
      <c r="D177" s="13" t="s">
        <v>430</v>
      </c>
      <c r="E177" s="11" t="s">
        <v>111</v>
      </c>
      <c r="F177" s="11" t="s">
        <v>112</v>
      </c>
      <c r="G177" s="11" t="s">
        <v>431</v>
      </c>
      <c r="H177" s="11">
        <v>19.0</v>
      </c>
      <c r="I177" s="11">
        <v>15.0</v>
      </c>
      <c r="J177" s="14">
        <v>0.0</v>
      </c>
      <c r="K177" s="14">
        <v>1.0</v>
      </c>
      <c r="L177" s="14">
        <v>6.0</v>
      </c>
      <c r="M177" s="14">
        <v>1.0</v>
      </c>
      <c r="N177" s="14">
        <v>4.0</v>
      </c>
      <c r="O177" s="14">
        <v>4.0</v>
      </c>
      <c r="P177" s="14">
        <f t="shared" si="1"/>
        <v>16</v>
      </c>
      <c r="Q177" s="14">
        <v>11.0</v>
      </c>
      <c r="R177" s="14">
        <v>4.0</v>
      </c>
      <c r="S177" s="14">
        <v>2.0</v>
      </c>
      <c r="T177" s="14">
        <v>1.0</v>
      </c>
      <c r="U177" s="14">
        <f t="shared" si="2"/>
        <v>18</v>
      </c>
      <c r="V177" s="14">
        <v>0.0</v>
      </c>
      <c r="W177" s="14">
        <v>0.0</v>
      </c>
      <c r="X177" s="14">
        <v>0.0</v>
      </c>
      <c r="Y177" s="14">
        <f t="shared" si="3"/>
        <v>0</v>
      </c>
      <c r="Z177" s="14">
        <v>0.0</v>
      </c>
      <c r="AA177" s="14">
        <v>0.0</v>
      </c>
      <c r="AB177" s="11">
        <f t="shared" si="4"/>
        <v>34</v>
      </c>
    </row>
    <row r="178" ht="15.75" customHeight="1">
      <c r="A178" s="11">
        <v>56.0</v>
      </c>
      <c r="B178" s="23" t="s">
        <v>49</v>
      </c>
      <c r="C178" s="24">
        <v>1.2004065E7</v>
      </c>
      <c r="D178" s="23" t="s">
        <v>432</v>
      </c>
      <c r="E178" s="24" t="s">
        <v>79</v>
      </c>
      <c r="F178" s="24" t="s">
        <v>88</v>
      </c>
      <c r="G178" s="24" t="s">
        <v>115</v>
      </c>
      <c r="H178" s="11">
        <v>30.0</v>
      </c>
      <c r="I178" s="11">
        <v>36.0</v>
      </c>
      <c r="J178" s="14">
        <v>0.0</v>
      </c>
      <c r="K178" s="14">
        <v>7.0</v>
      </c>
      <c r="L178" s="14">
        <v>3.0</v>
      </c>
      <c r="M178" s="14">
        <v>9.0</v>
      </c>
      <c r="N178" s="14">
        <v>5.0</v>
      </c>
      <c r="O178" s="14">
        <v>9.0</v>
      </c>
      <c r="P178" s="14">
        <f t="shared" si="1"/>
        <v>33</v>
      </c>
      <c r="Q178" s="14">
        <v>12.0</v>
      </c>
      <c r="R178" s="14">
        <v>6.0</v>
      </c>
      <c r="S178" s="14">
        <v>6.0</v>
      </c>
      <c r="T178" s="14">
        <v>9.0</v>
      </c>
      <c r="U178" s="14">
        <f t="shared" si="2"/>
        <v>33</v>
      </c>
      <c r="V178" s="14">
        <v>0.0</v>
      </c>
      <c r="W178" s="14">
        <v>0.0</v>
      </c>
      <c r="X178" s="14">
        <v>0.0</v>
      </c>
      <c r="Y178" s="14">
        <f t="shared" si="3"/>
        <v>0</v>
      </c>
      <c r="Z178" s="14">
        <v>0.0</v>
      </c>
      <c r="AA178" s="14">
        <v>0.0</v>
      </c>
      <c r="AB178" s="11">
        <f t="shared" si="4"/>
        <v>66</v>
      </c>
    </row>
    <row r="179" ht="16.5" customHeight="1">
      <c r="A179" s="4" t="s">
        <v>433</v>
      </c>
      <c r="B179" s="5"/>
      <c r="C179" s="5"/>
      <c r="D179" s="5"/>
      <c r="E179" s="5"/>
      <c r="F179" s="5"/>
      <c r="G179" s="25"/>
      <c r="H179" s="26" t="str">
        <f t="shared" ref="H179:AB179" si="5">SUM(#REF!)</f>
        <v>#REF!</v>
      </c>
      <c r="I179" s="26" t="str">
        <f t="shared" si="5"/>
        <v>#REF!</v>
      </c>
      <c r="J179" s="26" t="str">
        <f t="shared" si="5"/>
        <v>#REF!</v>
      </c>
      <c r="K179" s="26" t="str">
        <f t="shared" si="5"/>
        <v>#REF!</v>
      </c>
      <c r="L179" s="26" t="str">
        <f t="shared" si="5"/>
        <v>#REF!</v>
      </c>
      <c r="M179" s="26" t="str">
        <f t="shared" si="5"/>
        <v>#REF!</v>
      </c>
      <c r="N179" s="26" t="str">
        <f t="shared" si="5"/>
        <v>#REF!</v>
      </c>
      <c r="O179" s="26" t="str">
        <f t="shared" si="5"/>
        <v>#REF!</v>
      </c>
      <c r="P179" s="26" t="str">
        <f t="shared" si="5"/>
        <v>#REF!</v>
      </c>
      <c r="Q179" s="26" t="str">
        <f t="shared" si="5"/>
        <v>#REF!</v>
      </c>
      <c r="R179" s="26" t="str">
        <f t="shared" si="5"/>
        <v>#REF!</v>
      </c>
      <c r="S179" s="26" t="str">
        <f t="shared" si="5"/>
        <v>#REF!</v>
      </c>
      <c r="T179" s="26" t="str">
        <f t="shared" si="5"/>
        <v>#REF!</v>
      </c>
      <c r="U179" s="26" t="str">
        <f t="shared" si="5"/>
        <v>#REF!</v>
      </c>
      <c r="V179" s="26" t="str">
        <f t="shared" si="5"/>
        <v>#REF!</v>
      </c>
      <c r="W179" s="26" t="str">
        <f t="shared" si="5"/>
        <v>#REF!</v>
      </c>
      <c r="X179" s="26" t="str">
        <f t="shared" si="5"/>
        <v>#REF!</v>
      </c>
      <c r="Y179" s="26" t="str">
        <f t="shared" si="5"/>
        <v>#REF!</v>
      </c>
      <c r="Z179" s="26" t="str">
        <f t="shared" si="5"/>
        <v>#REF!</v>
      </c>
      <c r="AA179" s="26" t="str">
        <f t="shared" si="5"/>
        <v>#REF!</v>
      </c>
      <c r="AB179" s="26" t="str">
        <f t="shared" si="5"/>
        <v>#REF!</v>
      </c>
    </row>
    <row r="180" ht="15.75" customHeight="1">
      <c r="AB180" s="27"/>
    </row>
    <row r="181" ht="15.75" customHeight="1">
      <c r="AB181" s="27"/>
    </row>
    <row r="182" ht="15.75" customHeight="1">
      <c r="AB182" s="27"/>
    </row>
    <row r="183" ht="15.75" customHeight="1">
      <c r="AB183" s="27"/>
    </row>
    <row r="184" ht="15.75" customHeight="1">
      <c r="AB184" s="27"/>
    </row>
    <row r="185" ht="15.75" customHeight="1">
      <c r="AB185" s="27"/>
    </row>
    <row r="186" ht="15.75" customHeight="1">
      <c r="AB186" s="27"/>
    </row>
    <row r="187" ht="15.75" customHeight="1">
      <c r="AB187" s="27"/>
    </row>
    <row r="188" ht="15.75" customHeight="1">
      <c r="AB188" s="27"/>
    </row>
    <row r="189" ht="15.75" customHeight="1">
      <c r="AB189" s="27"/>
    </row>
    <row r="190" ht="15.75" customHeight="1">
      <c r="AB190" s="27"/>
    </row>
    <row r="191" ht="15.75" customHeight="1">
      <c r="AB191" s="27"/>
    </row>
    <row r="192" ht="15.75" customHeight="1">
      <c r="AB192" s="27"/>
    </row>
    <row r="193" ht="15.75" customHeight="1">
      <c r="AB193" s="27"/>
    </row>
    <row r="194" ht="15.75" customHeight="1">
      <c r="AB194" s="27"/>
    </row>
    <row r="195" ht="15.75" customHeight="1">
      <c r="AB195" s="27"/>
    </row>
    <row r="196" ht="15.75" customHeight="1">
      <c r="AB196" s="27"/>
    </row>
    <row r="197" ht="15.75" customHeight="1">
      <c r="AB197" s="27"/>
    </row>
    <row r="198" ht="15.75" customHeight="1">
      <c r="AB198" s="27"/>
    </row>
    <row r="199" ht="15.75" customHeight="1">
      <c r="AB199" s="27"/>
    </row>
    <row r="200" ht="15.75" customHeight="1">
      <c r="AB200" s="27"/>
    </row>
    <row r="201" ht="15.75" customHeight="1">
      <c r="AB201" s="27"/>
    </row>
    <row r="202" ht="15.75" customHeight="1">
      <c r="AB202" s="27"/>
    </row>
    <row r="203" ht="15.75" customHeight="1">
      <c r="AB203" s="27"/>
    </row>
    <row r="204" ht="15.75" customHeight="1">
      <c r="AB204" s="27"/>
    </row>
    <row r="205" ht="15.75" customHeight="1">
      <c r="AB205" s="27"/>
    </row>
    <row r="206" ht="15.75" customHeight="1">
      <c r="AB206" s="27"/>
    </row>
    <row r="207" ht="15.75" customHeight="1">
      <c r="AB207" s="27"/>
    </row>
    <row r="208" ht="15.75" customHeight="1">
      <c r="AB208" s="27"/>
    </row>
    <row r="209" ht="15.75" customHeight="1">
      <c r="AB209" s="27"/>
    </row>
    <row r="210" ht="15.75" customHeight="1">
      <c r="AB210" s="27"/>
    </row>
    <row r="211" ht="15.75" customHeight="1">
      <c r="AB211" s="27"/>
    </row>
    <row r="212" ht="15.75" customHeight="1">
      <c r="AB212" s="27"/>
    </row>
    <row r="213" ht="15.75" customHeight="1">
      <c r="AB213" s="27"/>
    </row>
    <row r="214" ht="15.75" customHeight="1">
      <c r="AB214" s="27"/>
    </row>
    <row r="215" ht="15.75" customHeight="1">
      <c r="AB215" s="27"/>
    </row>
    <row r="216" ht="15.75" customHeight="1">
      <c r="AB216" s="27"/>
    </row>
    <row r="217" ht="15.75" customHeight="1">
      <c r="AB217" s="27"/>
    </row>
    <row r="218" ht="15.75" customHeight="1">
      <c r="AB218" s="27"/>
    </row>
    <row r="219" ht="15.75" customHeight="1">
      <c r="AB219" s="27"/>
    </row>
    <row r="220" ht="15.75" customHeight="1">
      <c r="AB220" s="27"/>
    </row>
    <row r="221" ht="15.75" customHeight="1">
      <c r="AB221" s="27"/>
    </row>
    <row r="222" ht="15.75" customHeight="1">
      <c r="AB222" s="27"/>
    </row>
    <row r="223" ht="15.75" customHeight="1">
      <c r="AB223" s="27"/>
    </row>
    <row r="224" ht="15.75" customHeight="1">
      <c r="AB224" s="27"/>
    </row>
    <row r="225" ht="15.75" customHeight="1">
      <c r="AB225" s="27"/>
    </row>
    <row r="226" ht="15.75" customHeight="1">
      <c r="AB226" s="27"/>
    </row>
    <row r="227" ht="15.75" customHeight="1">
      <c r="AB227" s="27"/>
    </row>
    <row r="228" ht="15.75" customHeight="1">
      <c r="AB228" s="27"/>
    </row>
    <row r="229" ht="15.75" customHeight="1">
      <c r="AB229" s="27"/>
    </row>
    <row r="230" ht="15.75" customHeight="1">
      <c r="AB230" s="27"/>
    </row>
    <row r="231" ht="15.75" customHeight="1">
      <c r="AB231" s="27"/>
    </row>
    <row r="232" ht="15.75" customHeight="1">
      <c r="AB232" s="27"/>
    </row>
    <row r="233" ht="15.75" customHeight="1">
      <c r="AB233" s="27"/>
    </row>
    <row r="234" ht="15.75" customHeight="1">
      <c r="AB234" s="27"/>
    </row>
    <row r="235" ht="15.75" customHeight="1">
      <c r="AB235" s="27"/>
    </row>
    <row r="236" ht="15.75" customHeight="1">
      <c r="AB236" s="27"/>
    </row>
    <row r="237" ht="15.75" customHeight="1">
      <c r="AB237" s="27"/>
    </row>
    <row r="238" ht="15.75" customHeight="1">
      <c r="AB238" s="27"/>
    </row>
    <row r="239" ht="15.75" customHeight="1">
      <c r="AB239" s="27"/>
    </row>
    <row r="240" ht="15.75" customHeight="1">
      <c r="AB240" s="27"/>
    </row>
    <row r="241" ht="15.75" customHeight="1">
      <c r="AB241" s="27"/>
    </row>
    <row r="242" ht="15.75" customHeight="1">
      <c r="AB242" s="27"/>
    </row>
    <row r="243" ht="15.75" customHeight="1">
      <c r="AB243" s="27"/>
    </row>
    <row r="244" ht="15.75" customHeight="1">
      <c r="AB244" s="27"/>
    </row>
    <row r="245" ht="15.75" customHeight="1">
      <c r="AB245" s="27"/>
    </row>
    <row r="246" ht="15.75" customHeight="1">
      <c r="AB246" s="27"/>
    </row>
    <row r="247" ht="15.75" customHeight="1">
      <c r="AB247" s="27"/>
    </row>
    <row r="248" ht="15.75" customHeight="1">
      <c r="AB248" s="27"/>
    </row>
    <row r="249" ht="15.75" customHeight="1">
      <c r="AB249" s="27"/>
    </row>
    <row r="250" ht="15.75" customHeight="1">
      <c r="AB250" s="27"/>
    </row>
    <row r="251" ht="15.75" customHeight="1">
      <c r="AB251" s="27"/>
    </row>
    <row r="252" ht="15.75" customHeight="1">
      <c r="AB252" s="27"/>
    </row>
    <row r="253" ht="15.75" customHeight="1">
      <c r="AB253" s="27"/>
    </row>
    <row r="254" ht="15.75" customHeight="1">
      <c r="AB254" s="27"/>
    </row>
    <row r="255" ht="15.75" customHeight="1">
      <c r="AB255" s="27"/>
    </row>
    <row r="256" ht="15.75" customHeight="1">
      <c r="AB256" s="27"/>
    </row>
    <row r="257" ht="15.75" customHeight="1">
      <c r="AB257" s="27"/>
    </row>
    <row r="258" ht="15.75" customHeight="1">
      <c r="AB258" s="27"/>
    </row>
    <row r="259" ht="15.75" customHeight="1">
      <c r="AB259" s="27"/>
    </row>
    <row r="260" ht="15.75" customHeight="1">
      <c r="AB260" s="27"/>
    </row>
    <row r="261" ht="15.75" customHeight="1">
      <c r="AB261" s="27"/>
    </row>
    <row r="262" ht="15.75" customHeight="1">
      <c r="AB262" s="27"/>
    </row>
    <row r="263" ht="15.75" customHeight="1">
      <c r="AB263" s="27"/>
    </row>
    <row r="264" ht="15.75" customHeight="1">
      <c r="AB264" s="27"/>
    </row>
    <row r="265" ht="15.75" customHeight="1">
      <c r="AB265" s="27"/>
    </row>
    <row r="266" ht="15.75" customHeight="1">
      <c r="AB266" s="27"/>
    </row>
    <row r="267" ht="15.75" customHeight="1">
      <c r="AB267" s="27"/>
    </row>
    <row r="268" ht="15.75" customHeight="1">
      <c r="AB268" s="27"/>
    </row>
    <row r="269" ht="15.75" customHeight="1">
      <c r="AB269" s="27"/>
    </row>
    <row r="270" ht="15.75" customHeight="1">
      <c r="AB270" s="27"/>
    </row>
    <row r="271" ht="15.75" customHeight="1">
      <c r="AB271" s="27"/>
    </row>
    <row r="272" ht="15.75" customHeight="1">
      <c r="AB272" s="27"/>
    </row>
    <row r="273" ht="15.75" customHeight="1">
      <c r="AB273" s="27"/>
    </row>
    <row r="274" ht="15.75" customHeight="1">
      <c r="AB274" s="27"/>
    </row>
    <row r="275" ht="15.75" customHeight="1">
      <c r="AB275" s="27"/>
    </row>
    <row r="276" ht="15.75" customHeight="1">
      <c r="AB276" s="27"/>
    </row>
    <row r="277" ht="15.75" customHeight="1">
      <c r="AB277" s="27"/>
    </row>
    <row r="278" ht="15.75" customHeight="1">
      <c r="AB278" s="27"/>
    </row>
    <row r="279" ht="15.75" customHeight="1">
      <c r="AB279" s="27"/>
    </row>
    <row r="280" ht="15.75" customHeight="1">
      <c r="AB280" s="27"/>
    </row>
    <row r="281" ht="15.75" customHeight="1">
      <c r="AB281" s="27"/>
    </row>
    <row r="282" ht="15.75" customHeight="1">
      <c r="AB282" s="27"/>
    </row>
    <row r="283" ht="15.75" customHeight="1">
      <c r="AB283" s="27"/>
    </row>
    <row r="284" ht="15.75" customHeight="1">
      <c r="AB284" s="27"/>
    </row>
    <row r="285" ht="15.75" customHeight="1">
      <c r="AB285" s="27"/>
    </row>
    <row r="286" ht="15.75" customHeight="1">
      <c r="AB286" s="27"/>
    </row>
    <row r="287" ht="15.75" customHeight="1">
      <c r="AB287" s="27"/>
    </row>
    <row r="288" ht="15.75" customHeight="1">
      <c r="AB288" s="27"/>
    </row>
    <row r="289" ht="15.75" customHeight="1">
      <c r="AB289" s="27"/>
    </row>
    <row r="290" ht="15.75" customHeight="1">
      <c r="AB290" s="27"/>
    </row>
    <row r="291" ht="15.75" customHeight="1">
      <c r="AB291" s="27"/>
    </row>
    <row r="292" ht="15.75" customHeight="1">
      <c r="AB292" s="27"/>
    </row>
    <row r="293" ht="15.75" customHeight="1">
      <c r="AB293" s="27"/>
    </row>
    <row r="294" ht="15.75" customHeight="1">
      <c r="AB294" s="27"/>
    </row>
    <row r="295" ht="15.75" customHeight="1">
      <c r="AB295" s="27"/>
    </row>
    <row r="296" ht="15.75" customHeight="1">
      <c r="AB296" s="27"/>
    </row>
    <row r="297" ht="15.75" customHeight="1">
      <c r="AB297" s="27"/>
    </row>
    <row r="298" ht="15.75" customHeight="1">
      <c r="AB298" s="27"/>
    </row>
    <row r="299" ht="15.75" customHeight="1">
      <c r="AB299" s="27"/>
    </row>
    <row r="300" ht="15.75" customHeight="1">
      <c r="AB300" s="27"/>
    </row>
    <row r="301" ht="15.75" customHeight="1">
      <c r="AB301" s="27"/>
    </row>
    <row r="302" ht="15.75" customHeight="1">
      <c r="AB302" s="27"/>
    </row>
    <row r="303" ht="15.75" customHeight="1">
      <c r="AB303" s="27"/>
    </row>
    <row r="304" ht="15.75" customHeight="1">
      <c r="AB304" s="27"/>
    </row>
    <row r="305" ht="15.75" customHeight="1">
      <c r="AB305" s="27"/>
    </row>
    <row r="306" ht="15.75" customHeight="1">
      <c r="AB306" s="27"/>
    </row>
    <row r="307" ht="15.75" customHeight="1">
      <c r="AB307" s="27"/>
    </row>
    <row r="308" ht="15.75" customHeight="1">
      <c r="AB308" s="27"/>
    </row>
    <row r="309" ht="15.75" customHeight="1">
      <c r="AB309" s="27"/>
    </row>
    <row r="310" ht="15.75" customHeight="1">
      <c r="AB310" s="27"/>
    </row>
    <row r="311" ht="15.75" customHeight="1">
      <c r="AB311" s="27"/>
    </row>
    <row r="312" ht="15.75" customHeight="1">
      <c r="AB312" s="27"/>
    </row>
    <row r="313" ht="15.75" customHeight="1">
      <c r="AB313" s="27"/>
    </row>
    <row r="314" ht="15.75" customHeight="1">
      <c r="AB314" s="27"/>
    </row>
    <row r="315" ht="15.75" customHeight="1">
      <c r="AB315" s="27"/>
    </row>
    <row r="316" ht="15.75" customHeight="1">
      <c r="AB316" s="27"/>
    </row>
    <row r="317" ht="15.75" customHeight="1">
      <c r="AB317" s="27"/>
    </row>
    <row r="318" ht="15.75" customHeight="1">
      <c r="AB318" s="27"/>
    </row>
    <row r="319" ht="15.75" customHeight="1">
      <c r="AB319" s="27"/>
    </row>
    <row r="320" ht="15.75" customHeight="1">
      <c r="AB320" s="27"/>
    </row>
    <row r="321" ht="15.75" customHeight="1">
      <c r="AB321" s="27"/>
    </row>
    <row r="322" ht="15.75" customHeight="1">
      <c r="AB322" s="27"/>
    </row>
    <row r="323" ht="15.75" customHeight="1">
      <c r="AB323" s="27"/>
    </row>
    <row r="324" ht="15.75" customHeight="1">
      <c r="AB324" s="27"/>
    </row>
    <row r="325" ht="15.75" customHeight="1">
      <c r="AB325" s="27"/>
    </row>
    <row r="326" ht="15.75" customHeight="1">
      <c r="AB326" s="27"/>
    </row>
    <row r="327" ht="15.75" customHeight="1">
      <c r="AB327" s="27"/>
    </row>
    <row r="328" ht="15.75" customHeight="1">
      <c r="AB328" s="27"/>
    </row>
    <row r="329" ht="15.75" customHeight="1">
      <c r="AB329" s="27"/>
    </row>
    <row r="330" ht="15.75" customHeight="1">
      <c r="AB330" s="27"/>
    </row>
    <row r="331" ht="15.75" customHeight="1">
      <c r="AB331" s="27"/>
    </row>
    <row r="332" ht="15.75" customHeight="1">
      <c r="AB332" s="27"/>
    </row>
    <row r="333" ht="15.75" customHeight="1">
      <c r="AB333" s="27"/>
    </row>
    <row r="334" ht="15.75" customHeight="1">
      <c r="AB334" s="27"/>
    </row>
    <row r="335" ht="15.75" customHeight="1">
      <c r="AB335" s="27"/>
    </row>
    <row r="336" ht="15.75" customHeight="1">
      <c r="AB336" s="27"/>
    </row>
    <row r="337" ht="15.75" customHeight="1">
      <c r="AB337" s="27"/>
    </row>
    <row r="338" ht="15.75" customHeight="1">
      <c r="AB338" s="27"/>
    </row>
    <row r="339" ht="15.75" customHeight="1">
      <c r="AB339" s="27"/>
    </row>
    <row r="340" ht="15.75" customHeight="1">
      <c r="AB340" s="27"/>
    </row>
    <row r="341" ht="15.75" customHeight="1">
      <c r="AB341" s="27"/>
    </row>
    <row r="342" ht="15.75" customHeight="1">
      <c r="AB342" s="27"/>
    </row>
    <row r="343" ht="15.75" customHeight="1">
      <c r="AB343" s="27"/>
    </row>
    <row r="344" ht="15.75" customHeight="1">
      <c r="AB344" s="27"/>
    </row>
    <row r="345" ht="15.75" customHeight="1">
      <c r="AB345" s="27"/>
    </row>
    <row r="346" ht="15.75" customHeight="1">
      <c r="AB346" s="27"/>
    </row>
    <row r="347" ht="15.75" customHeight="1">
      <c r="AB347" s="27"/>
    </row>
    <row r="348" ht="15.75" customHeight="1">
      <c r="AB348" s="27"/>
    </row>
    <row r="349" ht="15.75" customHeight="1">
      <c r="AB349" s="27"/>
    </row>
    <row r="350" ht="15.75" customHeight="1">
      <c r="AB350" s="27"/>
    </row>
    <row r="351" ht="15.75" customHeight="1">
      <c r="AB351" s="27"/>
    </row>
    <row r="352" ht="15.75" customHeight="1">
      <c r="AB352" s="27"/>
    </row>
    <row r="353" ht="15.75" customHeight="1">
      <c r="AB353" s="27"/>
    </row>
    <row r="354" ht="15.75" customHeight="1">
      <c r="AB354" s="27"/>
    </row>
    <row r="355" ht="15.75" customHeight="1">
      <c r="AB355" s="27"/>
    </row>
    <row r="356" ht="15.75" customHeight="1">
      <c r="AB356" s="27"/>
    </row>
    <row r="357" ht="15.75" customHeight="1">
      <c r="AB357" s="27"/>
    </row>
    <row r="358" ht="15.75" customHeight="1">
      <c r="AB358" s="27"/>
    </row>
    <row r="359" ht="15.75" customHeight="1">
      <c r="AB359" s="27"/>
    </row>
    <row r="360" ht="15.75" customHeight="1">
      <c r="AB360" s="27"/>
    </row>
    <row r="361" ht="15.75" customHeight="1">
      <c r="AB361" s="27"/>
    </row>
    <row r="362" ht="15.75" customHeight="1">
      <c r="AB362" s="27"/>
    </row>
    <row r="363" ht="15.75" customHeight="1">
      <c r="AB363" s="27"/>
    </row>
    <row r="364" ht="15.75" customHeight="1">
      <c r="AB364" s="27"/>
    </row>
    <row r="365" ht="15.75" customHeight="1">
      <c r="AB365" s="27"/>
    </row>
    <row r="366" ht="15.75" customHeight="1">
      <c r="AB366" s="27"/>
    </row>
    <row r="367" ht="15.75" customHeight="1">
      <c r="AB367" s="27"/>
    </row>
    <row r="368" ht="15.75" customHeight="1">
      <c r="AB368" s="27"/>
    </row>
    <row r="369" ht="15.75" customHeight="1">
      <c r="AB369" s="27"/>
    </row>
    <row r="370" ht="15.75" customHeight="1">
      <c r="AB370" s="27"/>
    </row>
    <row r="371" ht="15.75" customHeight="1">
      <c r="AB371" s="27"/>
    </row>
    <row r="372" ht="15.75" customHeight="1">
      <c r="AB372" s="27"/>
    </row>
    <row r="373" ht="15.75" customHeight="1">
      <c r="AB373" s="27"/>
    </row>
    <row r="374" ht="15.75" customHeight="1">
      <c r="AB374" s="27"/>
    </row>
    <row r="375" ht="15.75" customHeight="1">
      <c r="AB375" s="27"/>
    </row>
    <row r="376" ht="15.75" customHeight="1">
      <c r="AB376" s="27"/>
    </row>
    <row r="377" ht="15.75" customHeight="1">
      <c r="AB377" s="27"/>
    </row>
    <row r="378" ht="15.75" customHeight="1">
      <c r="AB378" s="27"/>
    </row>
    <row r="379" ht="15.75" customHeight="1">
      <c r="AB379" s="27"/>
    </row>
    <row r="380" ht="15.75" customHeight="1">
      <c r="AB380" s="27"/>
    </row>
    <row r="381" ht="15.75" customHeight="1">
      <c r="AB381" s="27"/>
    </row>
    <row r="382" ht="15.75" customHeight="1">
      <c r="AB382" s="27"/>
    </row>
    <row r="383" ht="15.75" customHeight="1">
      <c r="AB383" s="27"/>
    </row>
    <row r="384" ht="15.75" customHeight="1">
      <c r="AB384" s="27"/>
    </row>
    <row r="385" ht="15.75" customHeight="1">
      <c r="AB385" s="27"/>
    </row>
    <row r="386" ht="15.75" customHeight="1">
      <c r="AB386" s="27"/>
    </row>
    <row r="387" ht="15.75" customHeight="1">
      <c r="AB387" s="27"/>
    </row>
    <row r="388" ht="15.75" customHeight="1">
      <c r="AB388" s="27"/>
    </row>
    <row r="389" ht="15.75" customHeight="1">
      <c r="AB389" s="27"/>
    </row>
    <row r="390" ht="15.75" customHeight="1">
      <c r="AB390" s="27"/>
    </row>
    <row r="391" ht="15.75" customHeight="1">
      <c r="AB391" s="27"/>
    </row>
    <row r="392" ht="15.75" customHeight="1">
      <c r="AB392" s="27"/>
    </row>
    <row r="393" ht="15.75" customHeight="1">
      <c r="AB393" s="27"/>
    </row>
    <row r="394" ht="15.75" customHeight="1">
      <c r="AB394" s="27"/>
    </row>
    <row r="395" ht="15.75" customHeight="1">
      <c r="AB395" s="27"/>
    </row>
    <row r="396" ht="15.75" customHeight="1">
      <c r="AB396" s="27"/>
    </row>
    <row r="397" ht="15.75" customHeight="1">
      <c r="AB397" s="27"/>
    </row>
    <row r="398" ht="15.75" customHeight="1">
      <c r="AB398" s="27"/>
    </row>
    <row r="399" ht="15.75" customHeight="1">
      <c r="AB399" s="27"/>
    </row>
    <row r="400" ht="15.75" customHeight="1">
      <c r="AB400" s="27"/>
    </row>
    <row r="401" ht="15.75" customHeight="1">
      <c r="AB401" s="27"/>
    </row>
    <row r="402" ht="15.75" customHeight="1">
      <c r="AB402" s="27"/>
    </row>
    <row r="403" ht="15.75" customHeight="1">
      <c r="AB403" s="27"/>
    </row>
    <row r="404" ht="15.75" customHeight="1">
      <c r="AB404" s="27"/>
    </row>
    <row r="405" ht="15.75" customHeight="1">
      <c r="AB405" s="27"/>
    </row>
    <row r="406" ht="15.75" customHeight="1">
      <c r="AB406" s="27"/>
    </row>
    <row r="407" ht="15.75" customHeight="1">
      <c r="AB407" s="27"/>
    </row>
    <row r="408" ht="15.75" customHeight="1">
      <c r="AB408" s="27"/>
    </row>
    <row r="409" ht="15.75" customHeight="1">
      <c r="AB409" s="27"/>
    </row>
    <row r="410" ht="15.75" customHeight="1">
      <c r="AB410" s="27"/>
    </row>
    <row r="411" ht="15.75" customHeight="1">
      <c r="AB411" s="27"/>
    </row>
    <row r="412" ht="15.75" customHeight="1">
      <c r="AB412" s="27"/>
    </row>
    <row r="413" ht="15.75" customHeight="1">
      <c r="AB413" s="27"/>
    </row>
    <row r="414" ht="15.75" customHeight="1">
      <c r="AB414" s="27"/>
    </row>
    <row r="415" ht="15.75" customHeight="1">
      <c r="AB415" s="27"/>
    </row>
    <row r="416" ht="15.75" customHeight="1">
      <c r="AB416" s="27"/>
    </row>
    <row r="417" ht="15.75" customHeight="1">
      <c r="AB417" s="27"/>
    </row>
    <row r="418" ht="15.75" customHeight="1">
      <c r="AB418" s="27"/>
    </row>
    <row r="419" ht="15.75" customHeight="1">
      <c r="AB419" s="27"/>
    </row>
    <row r="420" ht="15.75" customHeight="1">
      <c r="AB420" s="27"/>
    </row>
    <row r="421" ht="15.75" customHeight="1">
      <c r="AB421" s="27"/>
    </row>
    <row r="422" ht="15.75" customHeight="1">
      <c r="AB422" s="27"/>
    </row>
    <row r="423" ht="15.75" customHeight="1">
      <c r="AB423" s="27"/>
    </row>
    <row r="424" ht="15.75" customHeight="1">
      <c r="AB424" s="27"/>
    </row>
    <row r="425" ht="15.75" customHeight="1">
      <c r="AB425" s="27"/>
    </row>
    <row r="426" ht="15.75" customHeight="1">
      <c r="AB426" s="27"/>
    </row>
    <row r="427" ht="15.75" customHeight="1">
      <c r="AB427" s="27"/>
    </row>
    <row r="428" ht="15.75" customHeight="1">
      <c r="AB428" s="27"/>
    </row>
    <row r="429" ht="15.75" customHeight="1">
      <c r="AB429" s="27"/>
    </row>
    <row r="430" ht="15.75" customHeight="1">
      <c r="AB430" s="27"/>
    </row>
    <row r="431" ht="15.75" customHeight="1">
      <c r="AB431" s="27"/>
    </row>
    <row r="432" ht="15.75" customHeight="1">
      <c r="AB432" s="27"/>
    </row>
    <row r="433" ht="15.75" customHeight="1">
      <c r="AB433" s="27"/>
    </row>
    <row r="434" ht="15.75" customHeight="1">
      <c r="AB434" s="27"/>
    </row>
    <row r="435" ht="15.75" customHeight="1">
      <c r="AB435" s="27"/>
    </row>
    <row r="436" ht="15.75" customHeight="1">
      <c r="AB436" s="27"/>
    </row>
    <row r="437" ht="15.75" customHeight="1">
      <c r="AB437" s="27"/>
    </row>
    <row r="438" ht="15.75" customHeight="1">
      <c r="AB438" s="27"/>
    </row>
    <row r="439" ht="15.75" customHeight="1">
      <c r="AB439" s="27"/>
    </row>
    <row r="440" ht="15.75" customHeight="1">
      <c r="AB440" s="27"/>
    </row>
    <row r="441" ht="15.75" customHeight="1">
      <c r="AB441" s="27"/>
    </row>
    <row r="442" ht="15.75" customHeight="1">
      <c r="AB442" s="27"/>
    </row>
    <row r="443" ht="15.75" customHeight="1">
      <c r="AB443" s="27"/>
    </row>
    <row r="444" ht="15.75" customHeight="1">
      <c r="AB444" s="27"/>
    </row>
    <row r="445" ht="15.75" customHeight="1">
      <c r="AB445" s="27"/>
    </row>
    <row r="446" ht="15.75" customHeight="1">
      <c r="AB446" s="27"/>
    </row>
    <row r="447" ht="15.75" customHeight="1">
      <c r="AB447" s="27"/>
    </row>
    <row r="448" ht="15.75" customHeight="1">
      <c r="AB448" s="27"/>
    </row>
    <row r="449" ht="15.75" customHeight="1">
      <c r="AB449" s="27"/>
    </row>
    <row r="450" ht="15.75" customHeight="1">
      <c r="AB450" s="27"/>
    </row>
    <row r="451" ht="15.75" customHeight="1">
      <c r="AB451" s="27"/>
    </row>
    <row r="452" ht="15.75" customHeight="1">
      <c r="AB452" s="27"/>
    </row>
    <row r="453" ht="15.75" customHeight="1">
      <c r="AB453" s="27"/>
    </row>
    <row r="454" ht="15.75" customHeight="1">
      <c r="AB454" s="27"/>
    </row>
    <row r="455" ht="15.75" customHeight="1">
      <c r="AB455" s="27"/>
    </row>
    <row r="456" ht="15.75" customHeight="1">
      <c r="AB456" s="27"/>
    </row>
    <row r="457" ht="15.75" customHeight="1">
      <c r="AB457" s="27"/>
    </row>
    <row r="458" ht="15.75" customHeight="1">
      <c r="AB458" s="27"/>
    </row>
    <row r="459" ht="15.75" customHeight="1">
      <c r="AB459" s="27"/>
    </row>
    <row r="460" ht="15.75" customHeight="1">
      <c r="AB460" s="27"/>
    </row>
    <row r="461" ht="15.75" customHeight="1">
      <c r="AB461" s="27"/>
    </row>
    <row r="462" ht="15.75" customHeight="1">
      <c r="AB462" s="27"/>
    </row>
    <row r="463" ht="15.75" customHeight="1">
      <c r="AB463" s="27"/>
    </row>
    <row r="464" ht="15.75" customHeight="1">
      <c r="AB464" s="27"/>
    </row>
    <row r="465" ht="15.75" customHeight="1">
      <c r="AB465" s="27"/>
    </row>
    <row r="466" ht="15.75" customHeight="1">
      <c r="AB466" s="27"/>
    </row>
    <row r="467" ht="15.75" customHeight="1">
      <c r="AB467" s="27"/>
    </row>
    <row r="468" ht="15.75" customHeight="1">
      <c r="AB468" s="27"/>
    </row>
    <row r="469" ht="15.75" customHeight="1">
      <c r="AB469" s="27"/>
    </row>
    <row r="470" ht="15.75" customHeight="1">
      <c r="AB470" s="27"/>
    </row>
    <row r="471" ht="15.75" customHeight="1">
      <c r="AB471" s="27"/>
    </row>
    <row r="472" ht="15.75" customHeight="1">
      <c r="AB472" s="27"/>
    </row>
    <row r="473" ht="15.75" customHeight="1">
      <c r="AB473" s="27"/>
    </row>
    <row r="474" ht="15.75" customHeight="1">
      <c r="AB474" s="27"/>
    </row>
    <row r="475" ht="15.75" customHeight="1">
      <c r="AB475" s="27"/>
    </row>
    <row r="476" ht="15.75" customHeight="1">
      <c r="AB476" s="27"/>
    </row>
    <row r="477" ht="15.75" customHeight="1">
      <c r="AB477" s="27"/>
    </row>
    <row r="478" ht="15.75" customHeight="1">
      <c r="AB478" s="27"/>
    </row>
    <row r="479" ht="15.75" customHeight="1">
      <c r="AB479" s="27"/>
    </row>
    <row r="480" ht="15.75" customHeight="1">
      <c r="AB480" s="27"/>
    </row>
    <row r="481" ht="15.75" customHeight="1">
      <c r="AB481" s="27"/>
    </row>
    <row r="482" ht="15.75" customHeight="1">
      <c r="AB482" s="27"/>
    </row>
    <row r="483" ht="15.75" customHeight="1">
      <c r="AB483" s="27"/>
    </row>
    <row r="484" ht="15.75" customHeight="1">
      <c r="AB484" s="27"/>
    </row>
    <row r="485" ht="15.75" customHeight="1">
      <c r="AB485" s="27"/>
    </row>
    <row r="486" ht="15.75" customHeight="1">
      <c r="AB486" s="27"/>
    </row>
    <row r="487" ht="15.75" customHeight="1">
      <c r="AB487" s="27"/>
    </row>
    <row r="488" ht="15.75" customHeight="1">
      <c r="AB488" s="27"/>
    </row>
    <row r="489" ht="15.75" customHeight="1">
      <c r="AB489" s="27"/>
    </row>
    <row r="490" ht="15.75" customHeight="1">
      <c r="AB490" s="27"/>
    </row>
    <row r="491" ht="15.75" customHeight="1">
      <c r="AB491" s="27"/>
    </row>
    <row r="492" ht="15.75" customHeight="1">
      <c r="AB492" s="27"/>
    </row>
    <row r="493" ht="15.75" customHeight="1">
      <c r="AB493" s="27"/>
    </row>
    <row r="494" ht="15.75" customHeight="1">
      <c r="AB494" s="27"/>
    </row>
    <row r="495" ht="15.75" customHeight="1">
      <c r="AB495" s="27"/>
    </row>
    <row r="496" ht="15.75" customHeight="1">
      <c r="AB496" s="27"/>
    </row>
    <row r="497" ht="15.75" customHeight="1">
      <c r="AB497" s="27"/>
    </row>
    <row r="498" ht="15.75" customHeight="1">
      <c r="AB498" s="27"/>
    </row>
    <row r="499" ht="15.75" customHeight="1">
      <c r="AB499" s="27"/>
    </row>
    <row r="500" ht="15.75" customHeight="1">
      <c r="AB500" s="27"/>
    </row>
    <row r="501" ht="15.75" customHeight="1">
      <c r="AB501" s="27"/>
    </row>
    <row r="502" ht="15.75" customHeight="1">
      <c r="AB502" s="27"/>
    </row>
    <row r="503" ht="15.75" customHeight="1">
      <c r="AB503" s="27"/>
    </row>
    <row r="504" ht="15.75" customHeight="1">
      <c r="AB504" s="27"/>
    </row>
    <row r="505" ht="15.75" customHeight="1">
      <c r="AB505" s="27"/>
    </row>
    <row r="506" ht="15.75" customHeight="1">
      <c r="AB506" s="27"/>
    </row>
    <row r="507" ht="15.75" customHeight="1">
      <c r="AB507" s="27"/>
    </row>
    <row r="508" ht="15.75" customHeight="1">
      <c r="AB508" s="27"/>
    </row>
    <row r="509" ht="15.75" customHeight="1">
      <c r="AB509" s="27"/>
    </row>
    <row r="510" ht="15.75" customHeight="1">
      <c r="AB510" s="27"/>
    </row>
    <row r="511" ht="15.75" customHeight="1">
      <c r="AB511" s="27"/>
    </row>
    <row r="512" ht="15.75" customHeight="1">
      <c r="AB512" s="27"/>
    </row>
    <row r="513" ht="15.75" customHeight="1">
      <c r="AB513" s="27"/>
    </row>
    <row r="514" ht="15.75" customHeight="1">
      <c r="AB514" s="27"/>
    </row>
    <row r="515" ht="15.75" customHeight="1">
      <c r="AB515" s="27"/>
    </row>
    <row r="516" ht="15.75" customHeight="1">
      <c r="AB516" s="27"/>
    </row>
    <row r="517" ht="15.75" customHeight="1">
      <c r="AB517" s="27"/>
    </row>
    <row r="518" ht="15.75" customHeight="1">
      <c r="AB518" s="27"/>
    </row>
    <row r="519" ht="15.75" customHeight="1">
      <c r="AB519" s="27"/>
    </row>
    <row r="520" ht="15.75" customHeight="1">
      <c r="AB520" s="27"/>
    </row>
    <row r="521" ht="15.75" customHeight="1">
      <c r="AB521" s="27"/>
    </row>
    <row r="522" ht="15.75" customHeight="1">
      <c r="AB522" s="27"/>
    </row>
    <row r="523" ht="15.75" customHeight="1">
      <c r="AB523" s="27"/>
    </row>
    <row r="524" ht="15.75" customHeight="1">
      <c r="AB524" s="27"/>
    </row>
    <row r="525" ht="15.75" customHeight="1">
      <c r="AB525" s="27"/>
    </row>
    <row r="526" ht="15.75" customHeight="1">
      <c r="AB526" s="27"/>
    </row>
    <row r="527" ht="15.75" customHeight="1">
      <c r="AB527" s="27"/>
    </row>
    <row r="528" ht="15.75" customHeight="1">
      <c r="AB528" s="27"/>
    </row>
    <row r="529" ht="15.75" customHeight="1">
      <c r="AB529" s="27"/>
    </row>
    <row r="530" ht="15.75" customHeight="1">
      <c r="AB530" s="27"/>
    </row>
    <row r="531" ht="15.75" customHeight="1">
      <c r="AB531" s="27"/>
    </row>
    <row r="532" ht="15.75" customHeight="1">
      <c r="AB532" s="27"/>
    </row>
    <row r="533" ht="15.75" customHeight="1">
      <c r="AB533" s="27"/>
    </row>
    <row r="534" ht="15.75" customHeight="1">
      <c r="AB534" s="27"/>
    </row>
    <row r="535" ht="15.75" customHeight="1">
      <c r="AB535" s="27"/>
    </row>
    <row r="536" ht="15.75" customHeight="1">
      <c r="AB536" s="27"/>
    </row>
    <row r="537" ht="15.75" customHeight="1">
      <c r="AB537" s="27"/>
    </row>
    <row r="538" ht="15.75" customHeight="1">
      <c r="AB538" s="27"/>
    </row>
    <row r="539" ht="15.75" customHeight="1">
      <c r="AB539" s="27"/>
    </row>
    <row r="540" ht="15.75" customHeight="1">
      <c r="AB540" s="27"/>
    </row>
    <row r="541" ht="15.75" customHeight="1">
      <c r="AB541" s="27"/>
    </row>
    <row r="542" ht="15.75" customHeight="1">
      <c r="AB542" s="27"/>
    </row>
    <row r="543" ht="15.75" customHeight="1">
      <c r="AB543" s="27"/>
    </row>
    <row r="544" ht="15.75" customHeight="1">
      <c r="AB544" s="27"/>
    </row>
    <row r="545" ht="15.75" customHeight="1">
      <c r="AB545" s="27"/>
    </row>
    <row r="546" ht="15.75" customHeight="1">
      <c r="AB546" s="27"/>
    </row>
    <row r="547" ht="15.75" customHeight="1">
      <c r="AB547" s="27"/>
    </row>
    <row r="548" ht="15.75" customHeight="1">
      <c r="AB548" s="27"/>
    </row>
    <row r="549" ht="15.75" customHeight="1">
      <c r="AB549" s="27"/>
    </row>
    <row r="550" ht="15.75" customHeight="1">
      <c r="AB550" s="27"/>
    </row>
    <row r="551" ht="15.75" customHeight="1">
      <c r="AB551" s="27"/>
    </row>
    <row r="552" ht="15.75" customHeight="1">
      <c r="AB552" s="27"/>
    </row>
    <row r="553" ht="15.75" customHeight="1">
      <c r="AB553" s="27"/>
    </row>
    <row r="554" ht="15.75" customHeight="1">
      <c r="AB554" s="27"/>
    </row>
    <row r="555" ht="15.75" customHeight="1">
      <c r="AB555" s="27"/>
    </row>
    <row r="556" ht="15.75" customHeight="1">
      <c r="AB556" s="27"/>
    </row>
    <row r="557" ht="15.75" customHeight="1">
      <c r="AB557" s="27"/>
    </row>
    <row r="558" ht="15.75" customHeight="1">
      <c r="AB558" s="27"/>
    </row>
    <row r="559" ht="15.75" customHeight="1">
      <c r="AB559" s="27"/>
    </row>
    <row r="560" ht="15.75" customHeight="1">
      <c r="AB560" s="27"/>
    </row>
    <row r="561" ht="15.75" customHeight="1">
      <c r="AB561" s="27"/>
    </row>
    <row r="562" ht="15.75" customHeight="1">
      <c r="AB562" s="27"/>
    </row>
    <row r="563" ht="15.75" customHeight="1">
      <c r="AB563" s="27"/>
    </row>
    <row r="564" ht="15.75" customHeight="1">
      <c r="AB564" s="27"/>
    </row>
    <row r="565" ht="15.75" customHeight="1">
      <c r="AB565" s="27"/>
    </row>
    <row r="566" ht="15.75" customHeight="1">
      <c r="AB566" s="27"/>
    </row>
    <row r="567" ht="15.75" customHeight="1">
      <c r="AB567" s="27"/>
    </row>
    <row r="568" ht="15.75" customHeight="1">
      <c r="AB568" s="27"/>
    </row>
    <row r="569" ht="15.75" customHeight="1">
      <c r="AB569" s="27"/>
    </row>
    <row r="570" ht="15.75" customHeight="1">
      <c r="AB570" s="27"/>
    </row>
    <row r="571" ht="15.75" customHeight="1">
      <c r="AB571" s="27"/>
    </row>
    <row r="572" ht="15.75" customHeight="1">
      <c r="AB572" s="27"/>
    </row>
    <row r="573" ht="15.75" customHeight="1">
      <c r="AB573" s="27"/>
    </row>
    <row r="574" ht="15.75" customHeight="1">
      <c r="AB574" s="27"/>
    </row>
    <row r="575" ht="15.75" customHeight="1">
      <c r="AB575" s="27"/>
    </row>
    <row r="576" ht="15.75" customHeight="1">
      <c r="AB576" s="27"/>
    </row>
    <row r="577" ht="15.75" customHeight="1">
      <c r="AB577" s="27"/>
    </row>
    <row r="578" ht="15.75" customHeight="1">
      <c r="AB578" s="27"/>
    </row>
    <row r="579" ht="15.75" customHeight="1">
      <c r="AB579" s="27"/>
    </row>
    <row r="580" ht="15.75" customHeight="1">
      <c r="AB580" s="27"/>
    </row>
    <row r="581" ht="15.75" customHeight="1">
      <c r="AB581" s="27"/>
    </row>
    <row r="582" ht="15.75" customHeight="1">
      <c r="AB582" s="27"/>
    </row>
    <row r="583" ht="15.75" customHeight="1">
      <c r="AB583" s="27"/>
    </row>
    <row r="584" ht="15.75" customHeight="1">
      <c r="AB584" s="27"/>
    </row>
    <row r="585" ht="15.75" customHeight="1">
      <c r="AB585" s="27"/>
    </row>
    <row r="586" ht="15.75" customHeight="1">
      <c r="AB586" s="27"/>
    </row>
    <row r="587" ht="15.75" customHeight="1">
      <c r="AB587" s="27"/>
    </row>
    <row r="588" ht="15.75" customHeight="1">
      <c r="AB588" s="27"/>
    </row>
    <row r="589" ht="15.75" customHeight="1">
      <c r="AB589" s="27"/>
    </row>
    <row r="590" ht="15.75" customHeight="1">
      <c r="AB590" s="27"/>
    </row>
    <row r="591" ht="15.75" customHeight="1">
      <c r="AB591" s="27"/>
    </row>
    <row r="592" ht="15.75" customHeight="1">
      <c r="AB592" s="27"/>
    </row>
    <row r="593" ht="15.75" customHeight="1">
      <c r="AB593" s="27"/>
    </row>
    <row r="594" ht="15.75" customHeight="1">
      <c r="AB594" s="27"/>
    </row>
    <row r="595" ht="15.75" customHeight="1">
      <c r="AB595" s="27"/>
    </row>
    <row r="596" ht="15.75" customHeight="1">
      <c r="AB596" s="27"/>
    </row>
    <row r="597" ht="15.75" customHeight="1">
      <c r="AB597" s="27"/>
    </row>
    <row r="598" ht="15.75" customHeight="1">
      <c r="AB598" s="27"/>
    </row>
    <row r="599" ht="15.75" customHeight="1">
      <c r="AB599" s="27"/>
    </row>
    <row r="600" ht="15.75" customHeight="1">
      <c r="AB600" s="27"/>
    </row>
    <row r="601" ht="15.75" customHeight="1">
      <c r="AB601" s="27"/>
    </row>
    <row r="602" ht="15.75" customHeight="1">
      <c r="AB602" s="27"/>
    </row>
    <row r="603" ht="15.75" customHeight="1">
      <c r="AB603" s="27"/>
    </row>
    <row r="604" ht="15.75" customHeight="1">
      <c r="AB604" s="27"/>
    </row>
    <row r="605" ht="15.75" customHeight="1">
      <c r="AB605" s="27"/>
    </row>
    <row r="606" ht="15.75" customHeight="1">
      <c r="AB606" s="27"/>
    </row>
    <row r="607" ht="15.75" customHeight="1">
      <c r="AB607" s="27"/>
    </row>
    <row r="608" ht="15.75" customHeight="1">
      <c r="AB608" s="27"/>
    </row>
    <row r="609" ht="15.75" customHeight="1">
      <c r="AB609" s="27"/>
    </row>
    <row r="610" ht="15.75" customHeight="1">
      <c r="AB610" s="27"/>
    </row>
    <row r="611" ht="15.75" customHeight="1">
      <c r="AB611" s="27"/>
    </row>
    <row r="612" ht="15.75" customHeight="1">
      <c r="AB612" s="27"/>
    </row>
    <row r="613" ht="15.75" customHeight="1">
      <c r="AB613" s="27"/>
    </row>
    <row r="614" ht="15.75" customHeight="1">
      <c r="AB614" s="27"/>
    </row>
    <row r="615" ht="15.75" customHeight="1">
      <c r="AB615" s="27"/>
    </row>
    <row r="616" ht="15.75" customHeight="1">
      <c r="AB616" s="27"/>
    </row>
    <row r="617" ht="15.75" customHeight="1">
      <c r="AB617" s="27"/>
    </row>
    <row r="618" ht="15.75" customHeight="1">
      <c r="AB618" s="27"/>
    </row>
    <row r="619" ht="15.75" customHeight="1">
      <c r="AB619" s="27"/>
    </row>
    <row r="620" ht="15.75" customHeight="1">
      <c r="AB620" s="27"/>
    </row>
    <row r="621" ht="15.75" customHeight="1">
      <c r="AB621" s="27"/>
    </row>
    <row r="622" ht="15.75" customHeight="1">
      <c r="AB622" s="27"/>
    </row>
    <row r="623" ht="15.75" customHeight="1">
      <c r="AB623" s="27"/>
    </row>
    <row r="624" ht="15.75" customHeight="1">
      <c r="AB624" s="27"/>
    </row>
    <row r="625" ht="15.75" customHeight="1">
      <c r="AB625" s="27"/>
    </row>
    <row r="626" ht="15.75" customHeight="1">
      <c r="AB626" s="27"/>
    </row>
    <row r="627" ht="15.75" customHeight="1">
      <c r="AB627" s="27"/>
    </row>
    <row r="628" ht="15.75" customHeight="1">
      <c r="AB628" s="27"/>
    </row>
    <row r="629" ht="15.75" customHeight="1">
      <c r="AB629" s="27"/>
    </row>
    <row r="630" ht="15.75" customHeight="1">
      <c r="AB630" s="27"/>
    </row>
    <row r="631" ht="15.75" customHeight="1">
      <c r="AB631" s="27"/>
    </row>
    <row r="632" ht="15.75" customHeight="1">
      <c r="AB632" s="27"/>
    </row>
    <row r="633" ht="15.75" customHeight="1">
      <c r="AB633" s="27"/>
    </row>
    <row r="634" ht="15.75" customHeight="1">
      <c r="AB634" s="27"/>
    </row>
    <row r="635" ht="15.75" customHeight="1">
      <c r="AB635" s="27"/>
    </row>
    <row r="636" ht="15.75" customHeight="1">
      <c r="AB636" s="27"/>
    </row>
    <row r="637" ht="15.75" customHeight="1">
      <c r="AB637" s="27"/>
    </row>
    <row r="638" ht="15.75" customHeight="1">
      <c r="AB638" s="27"/>
    </row>
    <row r="639" ht="15.75" customHeight="1">
      <c r="AB639" s="27"/>
    </row>
    <row r="640" ht="15.75" customHeight="1">
      <c r="AB640" s="27"/>
    </row>
    <row r="641" ht="15.75" customHeight="1">
      <c r="AB641" s="27"/>
    </row>
    <row r="642" ht="15.75" customHeight="1">
      <c r="AB642" s="27"/>
    </row>
    <row r="643" ht="15.75" customHeight="1">
      <c r="AB643" s="27"/>
    </row>
    <row r="644" ht="15.75" customHeight="1">
      <c r="AB644" s="27"/>
    </row>
    <row r="645" ht="15.75" customHeight="1">
      <c r="AB645" s="27"/>
    </row>
    <row r="646" ht="15.75" customHeight="1">
      <c r="AB646" s="27"/>
    </row>
    <row r="647" ht="15.75" customHeight="1">
      <c r="AB647" s="27"/>
    </row>
    <row r="648" ht="15.75" customHeight="1">
      <c r="AB648" s="27"/>
    </row>
    <row r="649" ht="15.75" customHeight="1">
      <c r="AB649" s="27"/>
    </row>
    <row r="650" ht="15.75" customHeight="1">
      <c r="AB650" s="27"/>
    </row>
    <row r="651" ht="15.75" customHeight="1">
      <c r="AB651" s="27"/>
    </row>
    <row r="652" ht="15.75" customHeight="1">
      <c r="AB652" s="27"/>
    </row>
    <row r="653" ht="15.75" customHeight="1">
      <c r="AB653" s="27"/>
    </row>
    <row r="654" ht="15.75" customHeight="1">
      <c r="AB654" s="27"/>
    </row>
    <row r="655" ht="15.75" customHeight="1">
      <c r="AB655" s="27"/>
    </row>
    <row r="656" ht="15.75" customHeight="1">
      <c r="AB656" s="27"/>
    </row>
    <row r="657" ht="15.75" customHeight="1">
      <c r="AB657" s="27"/>
    </row>
    <row r="658" ht="15.75" customHeight="1">
      <c r="AB658" s="27"/>
    </row>
    <row r="659" ht="15.75" customHeight="1">
      <c r="AB659" s="27"/>
    </row>
    <row r="660" ht="15.75" customHeight="1">
      <c r="AB660" s="27"/>
    </row>
    <row r="661" ht="15.75" customHeight="1">
      <c r="AB661" s="27"/>
    </row>
    <row r="662" ht="15.75" customHeight="1">
      <c r="AB662" s="27"/>
    </row>
    <row r="663" ht="15.75" customHeight="1">
      <c r="AB663" s="27"/>
    </row>
    <row r="664" ht="15.75" customHeight="1">
      <c r="AB664" s="27"/>
    </row>
    <row r="665" ht="15.75" customHeight="1">
      <c r="AB665" s="27"/>
    </row>
    <row r="666" ht="15.75" customHeight="1">
      <c r="AB666" s="27"/>
    </row>
    <row r="667" ht="15.75" customHeight="1">
      <c r="AB667" s="27"/>
    </row>
    <row r="668" ht="15.75" customHeight="1">
      <c r="AB668" s="27"/>
    </row>
    <row r="669" ht="15.75" customHeight="1">
      <c r="AB669" s="27"/>
    </row>
    <row r="670" ht="15.75" customHeight="1">
      <c r="AB670" s="27"/>
    </row>
    <row r="671" ht="15.75" customHeight="1">
      <c r="AB671" s="27"/>
    </row>
    <row r="672" ht="15.75" customHeight="1">
      <c r="AB672" s="27"/>
    </row>
    <row r="673" ht="15.75" customHeight="1">
      <c r="AB673" s="27"/>
    </row>
    <row r="674" ht="15.75" customHeight="1">
      <c r="AB674" s="27"/>
    </row>
    <row r="675" ht="15.75" customHeight="1">
      <c r="AB675" s="27"/>
    </row>
    <row r="676" ht="15.75" customHeight="1">
      <c r="AB676" s="27"/>
    </row>
    <row r="677" ht="15.75" customHeight="1">
      <c r="AB677" s="27"/>
    </row>
    <row r="678" ht="15.75" customHeight="1">
      <c r="AB678" s="27"/>
    </row>
    <row r="679" ht="15.75" customHeight="1">
      <c r="AB679" s="27"/>
    </row>
    <row r="680" ht="15.75" customHeight="1">
      <c r="AB680" s="27"/>
    </row>
    <row r="681" ht="15.75" customHeight="1">
      <c r="AB681" s="27"/>
    </row>
    <row r="682" ht="15.75" customHeight="1">
      <c r="AB682" s="27"/>
    </row>
    <row r="683" ht="15.75" customHeight="1">
      <c r="AB683" s="27"/>
    </row>
    <row r="684" ht="15.75" customHeight="1">
      <c r="AB684" s="27"/>
    </row>
    <row r="685" ht="15.75" customHeight="1">
      <c r="AB685" s="27"/>
    </row>
    <row r="686" ht="15.75" customHeight="1">
      <c r="AB686" s="27"/>
    </row>
    <row r="687" ht="15.75" customHeight="1">
      <c r="AB687" s="27"/>
    </row>
    <row r="688" ht="15.75" customHeight="1">
      <c r="AB688" s="27"/>
    </row>
    <row r="689" ht="15.75" customHeight="1">
      <c r="AB689" s="27"/>
    </row>
    <row r="690" ht="15.75" customHeight="1">
      <c r="AB690" s="27"/>
    </row>
    <row r="691" ht="15.75" customHeight="1">
      <c r="AB691" s="27"/>
    </row>
    <row r="692" ht="15.75" customHeight="1">
      <c r="AB692" s="27"/>
    </row>
    <row r="693" ht="15.75" customHeight="1">
      <c r="AB693" s="27"/>
    </row>
    <row r="694" ht="15.75" customHeight="1">
      <c r="AB694" s="27"/>
    </row>
    <row r="695" ht="15.75" customHeight="1">
      <c r="AB695" s="27"/>
    </row>
    <row r="696" ht="15.75" customHeight="1">
      <c r="AB696" s="27"/>
    </row>
    <row r="697" ht="15.75" customHeight="1">
      <c r="AB697" s="27"/>
    </row>
    <row r="698" ht="15.75" customHeight="1">
      <c r="AB698" s="27"/>
    </row>
    <row r="699" ht="15.75" customHeight="1">
      <c r="AB699" s="27"/>
    </row>
    <row r="700" ht="15.75" customHeight="1">
      <c r="AB700" s="27"/>
    </row>
    <row r="701" ht="15.75" customHeight="1">
      <c r="AB701" s="27"/>
    </row>
    <row r="702" ht="15.75" customHeight="1">
      <c r="AB702" s="27"/>
    </row>
    <row r="703" ht="15.75" customHeight="1">
      <c r="AB703" s="27"/>
    </row>
    <row r="704" ht="15.75" customHeight="1">
      <c r="AB704" s="27"/>
    </row>
    <row r="705" ht="15.75" customHeight="1">
      <c r="AB705" s="27"/>
    </row>
    <row r="706" ht="15.75" customHeight="1">
      <c r="AB706" s="27"/>
    </row>
    <row r="707" ht="15.75" customHeight="1">
      <c r="AB707" s="27"/>
    </row>
    <row r="708" ht="15.75" customHeight="1">
      <c r="AB708" s="27"/>
    </row>
    <row r="709" ht="15.75" customHeight="1">
      <c r="AB709" s="27"/>
    </row>
    <row r="710" ht="15.75" customHeight="1">
      <c r="AB710" s="27"/>
    </row>
    <row r="711" ht="15.75" customHeight="1">
      <c r="AB711" s="27"/>
    </row>
    <row r="712" ht="15.75" customHeight="1">
      <c r="AB712" s="27"/>
    </row>
    <row r="713" ht="15.75" customHeight="1">
      <c r="AB713" s="27"/>
    </row>
    <row r="714" ht="15.75" customHeight="1">
      <c r="AB714" s="27"/>
    </row>
    <row r="715" ht="15.75" customHeight="1">
      <c r="AB715" s="27"/>
    </row>
    <row r="716" ht="15.75" customHeight="1">
      <c r="AB716" s="27"/>
    </row>
    <row r="717" ht="15.75" customHeight="1">
      <c r="AB717" s="27"/>
    </row>
    <row r="718" ht="15.75" customHeight="1">
      <c r="AB718" s="27"/>
    </row>
    <row r="719" ht="15.75" customHeight="1">
      <c r="AB719" s="27"/>
    </row>
    <row r="720" ht="15.75" customHeight="1">
      <c r="AB720" s="27"/>
    </row>
    <row r="721" ht="15.75" customHeight="1">
      <c r="AB721" s="27"/>
    </row>
    <row r="722" ht="15.75" customHeight="1">
      <c r="AB722" s="27"/>
    </row>
    <row r="723" ht="15.75" customHeight="1">
      <c r="AB723" s="27"/>
    </row>
    <row r="724" ht="15.75" customHeight="1">
      <c r="AB724" s="27"/>
    </row>
    <row r="725" ht="15.75" customHeight="1">
      <c r="AB725" s="27"/>
    </row>
    <row r="726" ht="15.75" customHeight="1">
      <c r="AB726" s="27"/>
    </row>
    <row r="727" ht="15.75" customHeight="1">
      <c r="AB727" s="27"/>
    </row>
    <row r="728" ht="15.75" customHeight="1">
      <c r="AB728" s="27"/>
    </row>
    <row r="729" ht="15.75" customHeight="1">
      <c r="AB729" s="27"/>
    </row>
    <row r="730" ht="15.75" customHeight="1">
      <c r="AB730" s="27"/>
    </row>
    <row r="731" ht="15.75" customHeight="1">
      <c r="AB731" s="27"/>
    </row>
    <row r="732" ht="15.75" customHeight="1">
      <c r="AB732" s="27"/>
    </row>
    <row r="733" ht="15.75" customHeight="1">
      <c r="AB733" s="27"/>
    </row>
    <row r="734" ht="15.75" customHeight="1">
      <c r="AB734" s="27"/>
    </row>
    <row r="735" ht="15.75" customHeight="1">
      <c r="AB735" s="27"/>
    </row>
    <row r="736" ht="15.75" customHeight="1">
      <c r="AB736" s="27"/>
    </row>
    <row r="737" ht="15.75" customHeight="1">
      <c r="AB737" s="27"/>
    </row>
    <row r="738" ht="15.75" customHeight="1">
      <c r="AB738" s="27"/>
    </row>
    <row r="739" ht="15.75" customHeight="1">
      <c r="AB739" s="27"/>
    </row>
    <row r="740" ht="15.75" customHeight="1">
      <c r="AB740" s="27"/>
    </row>
    <row r="741" ht="15.75" customHeight="1">
      <c r="AB741" s="27"/>
    </row>
    <row r="742" ht="15.75" customHeight="1">
      <c r="AB742" s="27"/>
    </row>
    <row r="743" ht="15.75" customHeight="1">
      <c r="AB743" s="27"/>
    </row>
    <row r="744" ht="15.75" customHeight="1">
      <c r="AB744" s="27"/>
    </row>
    <row r="745" ht="15.75" customHeight="1">
      <c r="AB745" s="27"/>
    </row>
    <row r="746" ht="15.75" customHeight="1">
      <c r="AB746" s="27"/>
    </row>
    <row r="747" ht="15.75" customHeight="1">
      <c r="AB747" s="27"/>
    </row>
    <row r="748" ht="15.75" customHeight="1">
      <c r="AB748" s="27"/>
    </row>
    <row r="749" ht="15.75" customHeight="1">
      <c r="AB749" s="27"/>
    </row>
    <row r="750" ht="15.75" customHeight="1">
      <c r="AB750" s="27"/>
    </row>
    <row r="751" ht="15.75" customHeight="1">
      <c r="AB751" s="27"/>
    </row>
    <row r="752" ht="15.75" customHeight="1">
      <c r="AB752" s="27"/>
    </row>
    <row r="753" ht="15.75" customHeight="1">
      <c r="AB753" s="27"/>
    </row>
    <row r="754" ht="15.75" customHeight="1">
      <c r="AB754" s="27"/>
    </row>
    <row r="755" ht="15.75" customHeight="1">
      <c r="AB755" s="27"/>
    </row>
    <row r="756" ht="15.75" customHeight="1">
      <c r="AB756" s="27"/>
    </row>
    <row r="757" ht="15.75" customHeight="1">
      <c r="AB757" s="27"/>
    </row>
    <row r="758" ht="15.75" customHeight="1">
      <c r="AB758" s="27"/>
    </row>
    <row r="759" ht="15.75" customHeight="1">
      <c r="AB759" s="27"/>
    </row>
    <row r="760" ht="15.75" customHeight="1">
      <c r="AB760" s="27"/>
    </row>
    <row r="761" ht="15.75" customHeight="1">
      <c r="AB761" s="27"/>
    </row>
    <row r="762" ht="15.75" customHeight="1">
      <c r="AB762" s="27"/>
    </row>
    <row r="763" ht="15.75" customHeight="1">
      <c r="AB763" s="27"/>
    </row>
    <row r="764" ht="15.75" customHeight="1">
      <c r="AB764" s="27"/>
    </row>
    <row r="765" ht="15.75" customHeight="1">
      <c r="AB765" s="27"/>
    </row>
    <row r="766" ht="15.75" customHeight="1">
      <c r="AB766" s="27"/>
    </row>
    <row r="767" ht="15.75" customHeight="1">
      <c r="AB767" s="27"/>
    </row>
    <row r="768" ht="15.75" customHeight="1">
      <c r="AB768" s="27"/>
    </row>
    <row r="769" ht="15.75" customHeight="1">
      <c r="AB769" s="27"/>
    </row>
    <row r="770" ht="15.75" customHeight="1">
      <c r="AB770" s="27"/>
    </row>
    <row r="771" ht="15.75" customHeight="1">
      <c r="AB771" s="27"/>
    </row>
    <row r="772" ht="15.75" customHeight="1">
      <c r="AB772" s="27"/>
    </row>
    <row r="773" ht="15.75" customHeight="1">
      <c r="AB773" s="27"/>
    </row>
    <row r="774" ht="15.75" customHeight="1">
      <c r="AB774" s="27"/>
    </row>
    <row r="775" ht="15.75" customHeight="1">
      <c r="AB775" s="27"/>
    </row>
    <row r="776" ht="15.75" customHeight="1">
      <c r="AB776" s="27"/>
    </row>
    <row r="777" ht="15.75" customHeight="1">
      <c r="AB777" s="27"/>
    </row>
    <row r="778" ht="15.75" customHeight="1">
      <c r="AB778" s="27"/>
    </row>
    <row r="779" ht="15.75" customHeight="1">
      <c r="AB779" s="27"/>
    </row>
    <row r="780" ht="15.75" customHeight="1">
      <c r="AB780" s="27"/>
    </row>
    <row r="781" ht="15.75" customHeight="1">
      <c r="AB781" s="27"/>
    </row>
    <row r="782" ht="15.75" customHeight="1">
      <c r="AB782" s="27"/>
    </row>
    <row r="783" ht="15.75" customHeight="1">
      <c r="AB783" s="27"/>
    </row>
    <row r="784" ht="15.75" customHeight="1">
      <c r="AB784" s="27"/>
    </row>
    <row r="785" ht="15.75" customHeight="1">
      <c r="AB785" s="27"/>
    </row>
    <row r="786" ht="15.75" customHeight="1">
      <c r="AB786" s="27"/>
    </row>
    <row r="787" ht="15.75" customHeight="1">
      <c r="AB787" s="27"/>
    </row>
    <row r="788" ht="15.75" customHeight="1">
      <c r="AB788" s="27"/>
    </row>
    <row r="789" ht="15.75" customHeight="1">
      <c r="AB789" s="27"/>
    </row>
    <row r="790" ht="15.75" customHeight="1">
      <c r="AB790" s="27"/>
    </row>
    <row r="791" ht="15.75" customHeight="1">
      <c r="AB791" s="27"/>
    </row>
    <row r="792" ht="15.75" customHeight="1">
      <c r="AB792" s="27"/>
    </row>
    <row r="793" ht="15.75" customHeight="1">
      <c r="AB793" s="27"/>
    </row>
    <row r="794" ht="15.75" customHeight="1">
      <c r="AB794" s="27"/>
    </row>
    <row r="795" ht="15.75" customHeight="1">
      <c r="AB795" s="27"/>
    </row>
    <row r="796" ht="15.75" customHeight="1">
      <c r="AB796" s="27"/>
    </row>
    <row r="797" ht="15.75" customHeight="1">
      <c r="AB797" s="27"/>
    </row>
    <row r="798" ht="15.75" customHeight="1">
      <c r="AB798" s="27"/>
    </row>
    <row r="799" ht="15.75" customHeight="1">
      <c r="AB799" s="27"/>
    </row>
    <row r="800" ht="15.75" customHeight="1">
      <c r="AB800" s="27"/>
    </row>
    <row r="801" ht="15.75" customHeight="1">
      <c r="AB801" s="27"/>
    </row>
    <row r="802" ht="15.75" customHeight="1">
      <c r="AB802" s="27"/>
    </row>
    <row r="803" ht="15.75" customHeight="1">
      <c r="AB803" s="27"/>
    </row>
    <row r="804" ht="15.75" customHeight="1">
      <c r="AB804" s="27"/>
    </row>
    <row r="805" ht="15.75" customHeight="1">
      <c r="AB805" s="27"/>
    </row>
    <row r="806" ht="15.75" customHeight="1">
      <c r="AB806" s="27"/>
    </row>
    <row r="807" ht="15.75" customHeight="1">
      <c r="AB807" s="27"/>
    </row>
    <row r="808" ht="15.75" customHeight="1">
      <c r="AB808" s="27"/>
    </row>
    <row r="809" ht="15.75" customHeight="1">
      <c r="AB809" s="27"/>
    </row>
    <row r="810" ht="15.75" customHeight="1">
      <c r="AB810" s="27"/>
    </row>
    <row r="811" ht="15.75" customHeight="1">
      <c r="AB811" s="27"/>
    </row>
    <row r="812" ht="15.75" customHeight="1">
      <c r="AB812" s="27"/>
    </row>
    <row r="813" ht="15.75" customHeight="1">
      <c r="AB813" s="27"/>
    </row>
    <row r="814" ht="15.75" customHeight="1">
      <c r="AB814" s="27"/>
    </row>
    <row r="815" ht="15.75" customHeight="1">
      <c r="AB815" s="27"/>
    </row>
    <row r="816" ht="15.75" customHeight="1">
      <c r="AB816" s="27"/>
    </row>
    <row r="817" ht="15.75" customHeight="1">
      <c r="AB817" s="27"/>
    </row>
    <row r="818" ht="15.75" customHeight="1">
      <c r="AB818" s="27"/>
    </row>
    <row r="819" ht="15.75" customHeight="1">
      <c r="AB819" s="27"/>
    </row>
    <row r="820" ht="15.75" customHeight="1">
      <c r="AB820" s="27"/>
    </row>
    <row r="821" ht="15.75" customHeight="1">
      <c r="AB821" s="27"/>
    </row>
    <row r="822" ht="15.75" customHeight="1">
      <c r="AB822" s="27"/>
    </row>
    <row r="823" ht="15.75" customHeight="1">
      <c r="AB823" s="27"/>
    </row>
    <row r="824" ht="15.75" customHeight="1">
      <c r="AB824" s="27"/>
    </row>
    <row r="825" ht="15.75" customHeight="1">
      <c r="AB825" s="27"/>
    </row>
    <row r="826" ht="15.75" customHeight="1">
      <c r="AB826" s="27"/>
    </row>
    <row r="827" ht="15.75" customHeight="1">
      <c r="AB827" s="27"/>
    </row>
    <row r="828" ht="15.75" customHeight="1">
      <c r="AB828" s="27"/>
    </row>
    <row r="829" ht="15.75" customHeight="1">
      <c r="AB829" s="27"/>
    </row>
    <row r="830" ht="15.75" customHeight="1">
      <c r="AB830" s="27"/>
    </row>
    <row r="831" ht="15.75" customHeight="1">
      <c r="AB831" s="27"/>
    </row>
    <row r="832" ht="15.75" customHeight="1">
      <c r="AB832" s="27"/>
    </row>
    <row r="833" ht="15.75" customHeight="1">
      <c r="AB833" s="27"/>
    </row>
    <row r="834" ht="15.75" customHeight="1">
      <c r="AB834" s="27"/>
    </row>
    <row r="835" ht="15.75" customHeight="1">
      <c r="AB835" s="27"/>
    </row>
    <row r="836" ht="15.75" customHeight="1">
      <c r="AB836" s="27"/>
    </row>
    <row r="837" ht="15.75" customHeight="1">
      <c r="AB837" s="27"/>
    </row>
    <row r="838" ht="15.75" customHeight="1">
      <c r="AB838" s="27"/>
    </row>
    <row r="839" ht="15.75" customHeight="1">
      <c r="AB839" s="27"/>
    </row>
    <row r="840" ht="15.75" customHeight="1">
      <c r="AB840" s="27"/>
    </row>
    <row r="841" ht="15.75" customHeight="1">
      <c r="AB841" s="27"/>
    </row>
    <row r="842" ht="15.75" customHeight="1">
      <c r="AB842" s="27"/>
    </row>
    <row r="843" ht="15.75" customHeight="1">
      <c r="AB843" s="27"/>
    </row>
    <row r="844" ht="15.75" customHeight="1">
      <c r="AB844" s="27"/>
    </row>
    <row r="845" ht="15.75" customHeight="1">
      <c r="AB845" s="27"/>
    </row>
    <row r="846" ht="15.75" customHeight="1">
      <c r="AB846" s="27"/>
    </row>
    <row r="847" ht="15.75" customHeight="1">
      <c r="AB847" s="27"/>
    </row>
    <row r="848" ht="15.75" customHeight="1">
      <c r="AB848" s="27"/>
    </row>
    <row r="849" ht="15.75" customHeight="1">
      <c r="AB849" s="27"/>
    </row>
    <row r="850" ht="15.75" customHeight="1">
      <c r="AB850" s="27"/>
    </row>
    <row r="851" ht="15.75" customHeight="1">
      <c r="AB851" s="27"/>
    </row>
    <row r="852" ht="15.75" customHeight="1">
      <c r="AB852" s="27"/>
    </row>
    <row r="853" ht="15.75" customHeight="1">
      <c r="AB853" s="27"/>
    </row>
    <row r="854" ht="15.75" customHeight="1">
      <c r="AB854" s="27"/>
    </row>
    <row r="855" ht="15.75" customHeight="1">
      <c r="AB855" s="27"/>
    </row>
    <row r="856" ht="15.75" customHeight="1">
      <c r="AB856" s="27"/>
    </row>
    <row r="857" ht="15.75" customHeight="1">
      <c r="AB857" s="27"/>
    </row>
    <row r="858" ht="15.75" customHeight="1">
      <c r="AB858" s="27"/>
    </row>
    <row r="859" ht="15.75" customHeight="1">
      <c r="AB859" s="27"/>
    </row>
    <row r="860" ht="15.75" customHeight="1">
      <c r="AB860" s="27"/>
    </row>
    <row r="861" ht="15.75" customHeight="1">
      <c r="AB861" s="27"/>
    </row>
    <row r="862" ht="15.75" customHeight="1">
      <c r="AB862" s="27"/>
    </row>
    <row r="863" ht="15.75" customHeight="1">
      <c r="AB863" s="27"/>
    </row>
    <row r="864" ht="15.75" customHeight="1">
      <c r="AB864" s="27"/>
    </row>
    <row r="865" ht="15.75" customHeight="1">
      <c r="AB865" s="27"/>
    </row>
    <row r="866" ht="15.75" customHeight="1">
      <c r="AB866" s="27"/>
    </row>
    <row r="867" ht="15.75" customHeight="1">
      <c r="AB867" s="27"/>
    </row>
    <row r="868" ht="15.75" customHeight="1">
      <c r="AB868" s="27"/>
    </row>
    <row r="869" ht="15.75" customHeight="1">
      <c r="AB869" s="27"/>
    </row>
    <row r="870" ht="15.75" customHeight="1">
      <c r="AB870" s="27"/>
    </row>
    <row r="871" ht="15.75" customHeight="1">
      <c r="AB871" s="27"/>
    </row>
    <row r="872" ht="15.75" customHeight="1">
      <c r="AB872" s="27"/>
    </row>
    <row r="873" ht="15.75" customHeight="1">
      <c r="AB873" s="27"/>
    </row>
    <row r="874" ht="15.75" customHeight="1">
      <c r="AB874" s="27"/>
    </row>
    <row r="875" ht="15.75" customHeight="1">
      <c r="AB875" s="27"/>
    </row>
    <row r="876" ht="15.75" customHeight="1">
      <c r="AB876" s="27"/>
    </row>
    <row r="877" ht="15.75" customHeight="1">
      <c r="AB877" s="27"/>
    </row>
    <row r="878" ht="15.75" customHeight="1">
      <c r="AB878" s="27"/>
    </row>
    <row r="879" ht="15.75" customHeight="1">
      <c r="AB879" s="27"/>
    </row>
    <row r="880" ht="15.75" customHeight="1">
      <c r="AB880" s="27"/>
    </row>
    <row r="881" ht="15.75" customHeight="1">
      <c r="AB881" s="27"/>
    </row>
    <row r="882" ht="15.75" customHeight="1">
      <c r="AB882" s="27"/>
    </row>
    <row r="883" ht="15.75" customHeight="1">
      <c r="AB883" s="27"/>
    </row>
    <row r="884" ht="15.75" customHeight="1">
      <c r="AB884" s="27"/>
    </row>
    <row r="885" ht="15.75" customHeight="1">
      <c r="AB885" s="27"/>
    </row>
    <row r="886" ht="15.75" customHeight="1">
      <c r="AB886" s="27"/>
    </row>
    <row r="887" ht="15.75" customHeight="1">
      <c r="AB887" s="27"/>
    </row>
    <row r="888" ht="15.75" customHeight="1">
      <c r="AB888" s="27"/>
    </row>
    <row r="889" ht="15.75" customHeight="1">
      <c r="AB889" s="27"/>
    </row>
    <row r="890" ht="15.75" customHeight="1">
      <c r="AB890" s="27"/>
    </row>
    <row r="891" ht="15.75" customHeight="1">
      <c r="AB891" s="27"/>
    </row>
    <row r="892" ht="15.75" customHeight="1">
      <c r="AB892" s="27"/>
    </row>
    <row r="893" ht="15.75" customHeight="1">
      <c r="AB893" s="27"/>
    </row>
    <row r="894" ht="15.75" customHeight="1">
      <c r="AB894" s="27"/>
    </row>
    <row r="895" ht="15.75" customHeight="1">
      <c r="AB895" s="27"/>
    </row>
    <row r="896" ht="15.75" customHeight="1">
      <c r="AB896" s="27"/>
    </row>
    <row r="897" ht="15.75" customHeight="1">
      <c r="AB897" s="27"/>
    </row>
    <row r="898" ht="15.75" customHeight="1">
      <c r="AB898" s="27"/>
    </row>
    <row r="899" ht="15.75" customHeight="1">
      <c r="AB899" s="27"/>
    </row>
    <row r="900" ht="15.75" customHeight="1">
      <c r="AB900" s="27"/>
    </row>
    <row r="901" ht="15.75" customHeight="1">
      <c r="AB901" s="27"/>
    </row>
    <row r="902" ht="15.75" customHeight="1">
      <c r="AB902" s="27"/>
    </row>
    <row r="903" ht="15.75" customHeight="1">
      <c r="AB903" s="27"/>
    </row>
    <row r="904" ht="15.75" customHeight="1">
      <c r="AB904" s="27"/>
    </row>
    <row r="905" ht="15.75" customHeight="1">
      <c r="AB905" s="27"/>
    </row>
    <row r="906" ht="15.75" customHeight="1">
      <c r="AB906" s="27"/>
    </row>
    <row r="907" ht="15.75" customHeight="1">
      <c r="AB907" s="27"/>
    </row>
    <row r="908" ht="15.75" customHeight="1">
      <c r="AB908" s="27"/>
    </row>
    <row r="909" ht="15.75" customHeight="1">
      <c r="AB909" s="27"/>
    </row>
    <row r="910" ht="15.75" customHeight="1">
      <c r="AB910" s="27"/>
    </row>
    <row r="911" ht="15.75" customHeight="1">
      <c r="AB911" s="27"/>
    </row>
    <row r="912" ht="15.75" customHeight="1">
      <c r="AB912" s="27"/>
    </row>
    <row r="913" ht="15.75" customHeight="1">
      <c r="AB913" s="27"/>
    </row>
    <row r="914" ht="15.75" customHeight="1">
      <c r="AB914" s="27"/>
    </row>
    <row r="915" ht="15.75" customHeight="1">
      <c r="AB915" s="27"/>
    </row>
    <row r="916" ht="15.75" customHeight="1">
      <c r="AB916" s="27"/>
    </row>
    <row r="917" ht="15.75" customHeight="1">
      <c r="AB917" s="27"/>
    </row>
    <row r="918" ht="15.75" customHeight="1">
      <c r="AB918" s="27"/>
    </row>
    <row r="919" ht="15.75" customHeight="1">
      <c r="AB919" s="27"/>
    </row>
    <row r="920" ht="15.75" customHeight="1">
      <c r="AB920" s="27"/>
    </row>
    <row r="921" ht="15.75" customHeight="1">
      <c r="AB921" s="27"/>
    </row>
    <row r="922" ht="15.75" customHeight="1">
      <c r="AB922" s="27"/>
    </row>
    <row r="923" ht="15.75" customHeight="1">
      <c r="AB923" s="27"/>
    </row>
    <row r="924" ht="15.75" customHeight="1">
      <c r="AB924" s="27"/>
    </row>
    <row r="925" ht="15.75" customHeight="1">
      <c r="AB925" s="27"/>
    </row>
    <row r="926" ht="15.75" customHeight="1">
      <c r="AB926" s="27"/>
    </row>
    <row r="927" ht="15.75" customHeight="1">
      <c r="AB927" s="27"/>
    </row>
    <row r="928" ht="15.75" customHeight="1">
      <c r="AB928" s="27"/>
    </row>
    <row r="929" ht="15.75" customHeight="1">
      <c r="AB929" s="27"/>
    </row>
    <row r="930" ht="15.75" customHeight="1">
      <c r="AB930" s="27"/>
    </row>
    <row r="931" ht="15.75" customHeight="1">
      <c r="AB931" s="27"/>
    </row>
    <row r="932" ht="15.75" customHeight="1">
      <c r="AB932" s="27"/>
    </row>
    <row r="933" ht="15.75" customHeight="1">
      <c r="AB933" s="27"/>
    </row>
    <row r="934" ht="15.75" customHeight="1">
      <c r="AB934" s="27"/>
    </row>
    <row r="935" ht="15.75" customHeight="1">
      <c r="AB935" s="27"/>
    </row>
    <row r="936" ht="15.75" customHeight="1">
      <c r="AB936" s="27"/>
    </row>
    <row r="937" ht="15.75" customHeight="1">
      <c r="AB937" s="27"/>
    </row>
    <row r="938" ht="15.75" customHeight="1">
      <c r="AB938" s="27"/>
    </row>
    <row r="939" ht="15.75" customHeight="1">
      <c r="AB939" s="27"/>
    </row>
    <row r="940" ht="15.75" customHeight="1">
      <c r="AB940" s="27"/>
    </row>
    <row r="941" ht="15.75" customHeight="1">
      <c r="AB941" s="27"/>
    </row>
    <row r="942" ht="15.75" customHeight="1">
      <c r="AB942" s="27"/>
    </row>
    <row r="943" ht="15.75" customHeight="1">
      <c r="AB943" s="27"/>
    </row>
    <row r="944" ht="15.75" customHeight="1">
      <c r="AB944" s="27"/>
    </row>
    <row r="945" ht="15.75" customHeight="1">
      <c r="AB945" s="27"/>
    </row>
    <row r="946" ht="15.75" customHeight="1">
      <c r="AB946" s="27"/>
    </row>
    <row r="947" ht="15.75" customHeight="1">
      <c r="AB947" s="27"/>
    </row>
    <row r="948" ht="15.75" customHeight="1">
      <c r="AB948" s="27"/>
    </row>
    <row r="949" ht="15.75" customHeight="1">
      <c r="AB949" s="27"/>
    </row>
    <row r="950" ht="15.75" customHeight="1">
      <c r="AB950" s="27"/>
    </row>
    <row r="951" ht="15.75" customHeight="1">
      <c r="AB951" s="27"/>
    </row>
    <row r="952" ht="15.75" customHeight="1">
      <c r="AB952" s="27"/>
    </row>
    <row r="953" ht="15.75" customHeight="1">
      <c r="AB953" s="27"/>
    </row>
    <row r="954" ht="15.75" customHeight="1">
      <c r="AB954" s="27"/>
    </row>
    <row r="955" ht="15.75" customHeight="1">
      <c r="AB955" s="27"/>
    </row>
    <row r="956" ht="15.75" customHeight="1">
      <c r="AB956" s="27"/>
    </row>
    <row r="957" ht="15.75" customHeight="1">
      <c r="AB957" s="27"/>
    </row>
    <row r="958" ht="15.75" customHeight="1">
      <c r="AB958" s="27"/>
    </row>
    <row r="959" ht="15.75" customHeight="1">
      <c r="AB959" s="27"/>
    </row>
    <row r="960" ht="15.75" customHeight="1">
      <c r="AB960" s="27"/>
    </row>
    <row r="961" ht="15.75" customHeight="1">
      <c r="AB961" s="27"/>
    </row>
    <row r="962" ht="15.75" customHeight="1">
      <c r="AB962" s="27"/>
    </row>
    <row r="963" ht="15.75" customHeight="1">
      <c r="AB963" s="27"/>
    </row>
    <row r="964" ht="15.75" customHeight="1">
      <c r="AB964" s="27"/>
    </row>
    <row r="965" ht="15.75" customHeight="1">
      <c r="AB965" s="27"/>
    </row>
    <row r="966" ht="15.75" customHeight="1">
      <c r="AB966" s="27"/>
    </row>
    <row r="967" ht="15.75" customHeight="1">
      <c r="AB967" s="27"/>
    </row>
    <row r="968" ht="15.75" customHeight="1">
      <c r="AB968" s="27"/>
    </row>
    <row r="969" ht="15.75" customHeight="1">
      <c r="AB969" s="27"/>
    </row>
    <row r="970" ht="15.75" customHeight="1">
      <c r="AB970" s="27"/>
    </row>
    <row r="971" ht="15.75" customHeight="1">
      <c r="AB971" s="27"/>
    </row>
    <row r="972" ht="15.75" customHeight="1">
      <c r="AB972" s="27"/>
    </row>
    <row r="973" ht="15.75" customHeight="1">
      <c r="AB973" s="27"/>
    </row>
    <row r="974" ht="15.75" customHeight="1">
      <c r="AB974" s="27"/>
    </row>
    <row r="975" ht="15.75" customHeight="1">
      <c r="AB975" s="27"/>
    </row>
    <row r="976" ht="15.75" customHeight="1">
      <c r="AB976" s="27"/>
    </row>
    <row r="977" ht="15.75" customHeight="1">
      <c r="AB977" s="27"/>
    </row>
    <row r="978" ht="15.75" customHeight="1">
      <c r="AB978" s="27"/>
    </row>
    <row r="979" ht="15.75" customHeight="1">
      <c r="AB979" s="27"/>
    </row>
    <row r="980" ht="15.75" customHeight="1">
      <c r="AB980" s="27"/>
    </row>
    <row r="981" ht="15.75" customHeight="1">
      <c r="AB981" s="27"/>
    </row>
    <row r="982" ht="15.75" customHeight="1">
      <c r="AB982" s="27"/>
    </row>
    <row r="983" ht="15.75" customHeight="1">
      <c r="AB983" s="27"/>
    </row>
    <row r="984" ht="15.75" customHeight="1">
      <c r="AB984" s="27"/>
    </row>
    <row r="985" ht="15.75" customHeight="1">
      <c r="AB985" s="27"/>
    </row>
    <row r="986" ht="15.75" customHeight="1">
      <c r="AB986" s="27"/>
    </row>
    <row r="987" ht="15.75" customHeight="1">
      <c r="AB987" s="27"/>
    </row>
    <row r="988" ht="15.75" customHeight="1">
      <c r="AB988" s="27"/>
    </row>
    <row r="989" ht="15.75" customHeight="1">
      <c r="AB989" s="27"/>
    </row>
    <row r="990" ht="15.75" customHeight="1">
      <c r="AB990" s="27"/>
    </row>
    <row r="991" ht="15.75" customHeight="1">
      <c r="AB991" s="27"/>
    </row>
    <row r="992" ht="15.75" customHeight="1">
      <c r="AB992" s="27"/>
    </row>
    <row r="993" ht="15.75" customHeight="1">
      <c r="AB993" s="27"/>
    </row>
    <row r="994" ht="15.75" customHeight="1">
      <c r="AB994" s="27"/>
    </row>
    <row r="995" ht="15.75" customHeight="1">
      <c r="AB995" s="27"/>
    </row>
    <row r="996" ht="15.75" customHeight="1">
      <c r="AB996" s="27"/>
    </row>
    <row r="997" ht="15.75" customHeight="1">
      <c r="AB997" s="27"/>
    </row>
    <row r="998" ht="15.75" customHeight="1">
      <c r="AB998" s="27"/>
    </row>
    <row r="999" ht="15.75" customHeight="1">
      <c r="AB999" s="27"/>
    </row>
    <row r="1000" ht="15.75" customHeight="1">
      <c r="AB1000" s="27"/>
    </row>
  </sheetData>
  <autoFilter ref="$A$2:$AB$179">
    <sortState ref="A2:AB179">
      <sortCondition ref="D2:D179"/>
      <sortCondition ref="E2:E179"/>
      <sortCondition ref="G2:G179"/>
      <sortCondition ref="F2:F179"/>
      <sortCondition ref="B2:B179"/>
    </sortState>
  </autoFilter>
  <mergeCells count="2">
    <mergeCell ref="J1:AB1"/>
    <mergeCell ref="A179:G179"/>
  </mergeCells>
  <printOptions/>
  <pageMargins bottom="0.7874015748031497" footer="0.0" header="0.0" left="0.3937007874015748" right="0.3937007874015748" top="0.3937007874015748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4.86"/>
    <col customWidth="1" min="3" max="3" width="8.71"/>
    <col customWidth="1" min="4" max="4" width="35.57"/>
    <col customWidth="1" min="5" max="5" width="14.86"/>
    <col customWidth="1" min="6" max="6" width="20.71"/>
    <col customWidth="1" min="7" max="7" width="15.0"/>
    <col customWidth="1" min="8" max="8" width="16.57"/>
    <col customWidth="1" min="9" max="9" width="20.57"/>
    <col customWidth="1" min="10" max="12" width="8.71"/>
    <col customWidth="1" min="13" max="13" width="14.43"/>
    <col customWidth="1" min="14" max="26" width="8.71"/>
  </cols>
  <sheetData>
    <row r="1" ht="15.0" customHeight="1">
      <c r="G1" s="3" t="s">
        <v>8</v>
      </c>
      <c r="H1" s="3" t="s">
        <v>11</v>
      </c>
      <c r="I1" s="3" t="s">
        <v>12</v>
      </c>
      <c r="J1" s="6" t="s">
        <v>13</v>
      </c>
      <c r="K1" s="5"/>
      <c r="L1" s="7"/>
      <c r="M1" s="3" t="s">
        <v>14</v>
      </c>
      <c r="N1" s="9" t="s">
        <v>18</v>
      </c>
      <c r="O1" s="5"/>
      <c r="P1" s="5"/>
      <c r="Q1" s="5"/>
      <c r="R1" s="5"/>
      <c r="S1" s="5"/>
      <c r="T1" s="7"/>
    </row>
    <row r="2">
      <c r="G2" s="10"/>
      <c r="H2" s="10"/>
      <c r="I2" s="10"/>
      <c r="J2" s="12" t="s">
        <v>34</v>
      </c>
      <c r="K2" s="12" t="s">
        <v>36</v>
      </c>
      <c r="L2" s="12" t="s">
        <v>37</v>
      </c>
      <c r="M2" s="10"/>
      <c r="N2" s="12" t="s">
        <v>41</v>
      </c>
      <c r="O2" s="12" t="s">
        <v>43</v>
      </c>
      <c r="P2" s="12" t="s">
        <v>44</v>
      </c>
      <c r="Q2" s="12" t="s">
        <v>45</v>
      </c>
      <c r="R2" s="12" t="s">
        <v>31</v>
      </c>
      <c r="S2" s="12" t="s">
        <v>32</v>
      </c>
      <c r="T2" s="12" t="s">
        <v>37</v>
      </c>
    </row>
    <row r="3">
      <c r="G3" s="15" t="s">
        <v>46</v>
      </c>
      <c r="H3" s="16" t="s">
        <v>47</v>
      </c>
      <c r="I3" s="16" t="s">
        <v>48</v>
      </c>
      <c r="J3" s="16">
        <v>22.0</v>
      </c>
      <c r="K3" s="16">
        <v>0.0</v>
      </c>
      <c r="L3" s="15">
        <f t="shared" ref="L3:L15" si="1">J3+K3</f>
        <v>22</v>
      </c>
      <c r="M3" s="16">
        <v>46.0</v>
      </c>
      <c r="N3" s="16">
        <v>46.0</v>
      </c>
      <c r="O3" s="16">
        <v>310.0</v>
      </c>
      <c r="P3" s="16">
        <v>228.0</v>
      </c>
      <c r="Q3" s="16">
        <v>0.0</v>
      </c>
      <c r="R3" s="16">
        <v>0.0</v>
      </c>
      <c r="S3" s="17">
        <v>0.0</v>
      </c>
      <c r="T3" s="18">
        <f t="shared" ref="T3:T11" si="2">N3+O3+P3+Q3+R3+S3</f>
        <v>584</v>
      </c>
    </row>
    <row r="4">
      <c r="G4" s="19" t="s">
        <v>56</v>
      </c>
      <c r="H4" s="16" t="s">
        <v>59</v>
      </c>
      <c r="I4" s="16" t="s">
        <v>60</v>
      </c>
      <c r="J4" s="16">
        <v>9.0</v>
      </c>
      <c r="K4" s="16">
        <v>0.0</v>
      </c>
      <c r="L4" s="15">
        <f t="shared" si="1"/>
        <v>9</v>
      </c>
      <c r="M4" s="16">
        <v>9.0</v>
      </c>
      <c r="N4" s="16">
        <v>0.0</v>
      </c>
      <c r="O4" s="16">
        <v>79.0</v>
      </c>
      <c r="P4" s="16">
        <v>0.0</v>
      </c>
      <c r="Q4" s="16">
        <v>0.0</v>
      </c>
      <c r="R4" s="16">
        <v>0.0</v>
      </c>
      <c r="S4" s="17">
        <v>0.0</v>
      </c>
      <c r="T4" s="18">
        <f t="shared" si="2"/>
        <v>79</v>
      </c>
    </row>
    <row r="5">
      <c r="G5" s="20"/>
      <c r="H5" s="16" t="s">
        <v>64</v>
      </c>
      <c r="I5" s="16" t="s">
        <v>51</v>
      </c>
      <c r="J5" s="16">
        <v>5.0</v>
      </c>
      <c r="K5" s="16">
        <v>0.0</v>
      </c>
      <c r="L5" s="15">
        <f t="shared" si="1"/>
        <v>5</v>
      </c>
      <c r="M5" s="16">
        <v>6.0</v>
      </c>
      <c r="N5" s="16">
        <v>0.0</v>
      </c>
      <c r="O5" s="16">
        <v>218.0</v>
      </c>
      <c r="P5" s="16">
        <v>0.0</v>
      </c>
      <c r="Q5" s="16">
        <v>0.0</v>
      </c>
      <c r="R5" s="16">
        <v>0.0</v>
      </c>
      <c r="S5" s="17">
        <v>0.0</v>
      </c>
      <c r="T5" s="18">
        <f t="shared" si="2"/>
        <v>218</v>
      </c>
    </row>
    <row r="6">
      <c r="G6" s="10"/>
      <c r="H6" s="16" t="s">
        <v>66</v>
      </c>
      <c r="I6" s="16" t="s">
        <v>67</v>
      </c>
      <c r="J6" s="16">
        <v>13.0</v>
      </c>
      <c r="K6" s="16">
        <v>0.0</v>
      </c>
      <c r="L6" s="15">
        <f t="shared" si="1"/>
        <v>13</v>
      </c>
      <c r="M6" s="16">
        <v>27.0</v>
      </c>
      <c r="N6" s="16">
        <v>0.0</v>
      </c>
      <c r="O6" s="16">
        <v>111.0</v>
      </c>
      <c r="P6" s="16">
        <v>0.0</v>
      </c>
      <c r="Q6" s="16">
        <v>155.0</v>
      </c>
      <c r="R6" s="16">
        <v>0.0</v>
      </c>
      <c r="S6" s="17">
        <v>0.0</v>
      </c>
      <c r="T6" s="18">
        <f t="shared" si="2"/>
        <v>266</v>
      </c>
    </row>
    <row r="7">
      <c r="G7" s="19" t="s">
        <v>70</v>
      </c>
      <c r="H7" s="16" t="s">
        <v>71</v>
      </c>
      <c r="I7" s="16" t="s">
        <v>72</v>
      </c>
      <c r="J7" s="16">
        <v>37.0</v>
      </c>
      <c r="K7" s="16">
        <v>12.0</v>
      </c>
      <c r="L7" s="15">
        <f t="shared" si="1"/>
        <v>49</v>
      </c>
      <c r="M7" s="16">
        <v>204.0</v>
      </c>
      <c r="N7" s="16">
        <v>37.0</v>
      </c>
      <c r="O7" s="16">
        <v>957.0</v>
      </c>
      <c r="P7" s="16">
        <v>949.0</v>
      </c>
      <c r="Q7" s="16">
        <v>266.0</v>
      </c>
      <c r="R7" s="16">
        <v>0.0</v>
      </c>
      <c r="S7" s="17">
        <v>0.0</v>
      </c>
      <c r="T7" s="18">
        <f t="shared" si="2"/>
        <v>2209</v>
      </c>
    </row>
    <row r="8">
      <c r="G8" s="20"/>
      <c r="H8" s="16" t="s">
        <v>75</v>
      </c>
      <c r="I8" s="16" t="s">
        <v>76</v>
      </c>
      <c r="J8" s="16">
        <v>24.0</v>
      </c>
      <c r="K8" s="16">
        <v>15.0</v>
      </c>
      <c r="L8" s="15">
        <f t="shared" si="1"/>
        <v>39</v>
      </c>
      <c r="M8" s="16">
        <v>115.0</v>
      </c>
      <c r="N8" s="16">
        <v>10.0</v>
      </c>
      <c r="O8" s="16">
        <v>648.0</v>
      </c>
      <c r="P8" s="16">
        <v>429.0</v>
      </c>
      <c r="Q8" s="16">
        <v>188.0</v>
      </c>
      <c r="R8" s="16">
        <v>36.0</v>
      </c>
      <c r="S8" s="17">
        <v>0.0</v>
      </c>
      <c r="T8" s="18">
        <f t="shared" si="2"/>
        <v>1311</v>
      </c>
    </row>
    <row r="9">
      <c r="G9" s="10"/>
      <c r="H9" s="16" t="s">
        <v>82</v>
      </c>
      <c r="I9" s="16" t="s">
        <v>79</v>
      </c>
      <c r="J9" s="16">
        <v>4.0</v>
      </c>
      <c r="K9" s="16">
        <v>1.0</v>
      </c>
      <c r="L9" s="15">
        <f t="shared" si="1"/>
        <v>5</v>
      </c>
      <c r="M9" s="16">
        <v>12.0</v>
      </c>
      <c r="N9" s="16">
        <v>0.0</v>
      </c>
      <c r="O9" s="16">
        <v>27.0</v>
      </c>
      <c r="P9" s="16">
        <v>64.0</v>
      </c>
      <c r="Q9" s="16">
        <v>0.0</v>
      </c>
      <c r="R9" s="16">
        <v>42.0</v>
      </c>
      <c r="S9" s="17">
        <v>0.0</v>
      </c>
      <c r="T9" s="18">
        <f t="shared" si="2"/>
        <v>133</v>
      </c>
    </row>
    <row r="10">
      <c r="G10" s="19" t="s">
        <v>83</v>
      </c>
      <c r="H10" s="16" t="s">
        <v>84</v>
      </c>
      <c r="I10" s="16" t="s">
        <v>85</v>
      </c>
      <c r="J10" s="16">
        <v>4.0</v>
      </c>
      <c r="K10" s="16">
        <v>1.0</v>
      </c>
      <c r="L10" s="15">
        <f t="shared" si="1"/>
        <v>5</v>
      </c>
      <c r="M10" s="16">
        <v>15.0</v>
      </c>
      <c r="N10" s="16">
        <v>21.0</v>
      </c>
      <c r="O10" s="16">
        <v>27.0</v>
      </c>
      <c r="P10" s="16">
        <v>25.0</v>
      </c>
      <c r="Q10" s="16">
        <v>0.0</v>
      </c>
      <c r="R10" s="16">
        <v>12.0</v>
      </c>
      <c r="S10" s="17">
        <v>0.0</v>
      </c>
      <c r="T10" s="18">
        <f t="shared" si="2"/>
        <v>85</v>
      </c>
    </row>
    <row r="11">
      <c r="G11" s="20"/>
      <c r="H11" s="16" t="s">
        <v>90</v>
      </c>
      <c r="I11" s="16" t="s">
        <v>91</v>
      </c>
      <c r="J11" s="16">
        <v>8.0</v>
      </c>
      <c r="K11" s="16">
        <v>0.0</v>
      </c>
      <c r="L11" s="15">
        <f t="shared" si="1"/>
        <v>8</v>
      </c>
      <c r="M11" s="16">
        <v>23.0</v>
      </c>
      <c r="N11" s="16">
        <v>0.0</v>
      </c>
      <c r="O11" s="16">
        <v>80.0</v>
      </c>
      <c r="P11" s="16">
        <v>80.0</v>
      </c>
      <c r="Q11" s="16">
        <v>41.0</v>
      </c>
      <c r="R11" s="16">
        <v>0.0</v>
      </c>
      <c r="S11" s="17">
        <v>12.0</v>
      </c>
      <c r="T11" s="18">
        <f t="shared" si="2"/>
        <v>213</v>
      </c>
    </row>
    <row r="12">
      <c r="G12" s="20"/>
      <c r="H12" s="16" t="s">
        <v>35</v>
      </c>
      <c r="I12" s="16" t="s">
        <v>94</v>
      </c>
      <c r="J12" s="16">
        <v>7.0</v>
      </c>
      <c r="K12" s="16">
        <v>1.0</v>
      </c>
      <c r="L12" s="15">
        <f t="shared" si="1"/>
        <v>8</v>
      </c>
      <c r="M12" s="16">
        <v>72.0</v>
      </c>
      <c r="N12" s="16">
        <v>29.0</v>
      </c>
      <c r="O12" s="16">
        <v>163.0</v>
      </c>
      <c r="P12" s="16">
        <v>142.0</v>
      </c>
      <c r="Q12" s="16">
        <v>106.0</v>
      </c>
      <c r="R12" s="16">
        <v>54.0</v>
      </c>
      <c r="S12" s="17">
        <v>16.0</v>
      </c>
      <c r="T12" s="18">
        <f>N12+O12+P12+Q12+R12+S12-S12+S12</f>
        <v>510</v>
      </c>
    </row>
    <row r="13">
      <c r="G13" s="20"/>
      <c r="H13" s="16" t="s">
        <v>95</v>
      </c>
      <c r="I13" s="16" t="s">
        <v>102</v>
      </c>
      <c r="J13" s="16">
        <v>7.0</v>
      </c>
      <c r="K13" s="16">
        <v>1.0</v>
      </c>
      <c r="L13" s="15">
        <f t="shared" si="1"/>
        <v>8</v>
      </c>
      <c r="M13" s="16">
        <v>39.0</v>
      </c>
      <c r="N13" s="16">
        <v>47.0</v>
      </c>
      <c r="O13" s="16">
        <v>82.0</v>
      </c>
      <c r="P13" s="16">
        <v>87.0</v>
      </c>
      <c r="Q13" s="16">
        <v>45.0</v>
      </c>
      <c r="R13" s="16">
        <v>0.0</v>
      </c>
      <c r="S13" s="17">
        <v>0.0</v>
      </c>
      <c r="T13" s="18">
        <f t="shared" ref="T13:T15" si="3">N13+O13+P13+Q13+R13+S13</f>
        <v>261</v>
      </c>
    </row>
    <row r="14">
      <c r="G14" s="10"/>
      <c r="H14" s="16" t="s">
        <v>108</v>
      </c>
      <c r="I14" s="16" t="s">
        <v>109</v>
      </c>
      <c r="J14" s="16">
        <v>4.0</v>
      </c>
      <c r="K14" s="16">
        <v>1.0</v>
      </c>
      <c r="L14" s="15">
        <f t="shared" si="1"/>
        <v>5</v>
      </c>
      <c r="M14" s="16">
        <v>10.0</v>
      </c>
      <c r="N14" s="16">
        <v>0.0</v>
      </c>
      <c r="O14" s="16">
        <v>99.0</v>
      </c>
      <c r="P14" s="16">
        <v>119.0</v>
      </c>
      <c r="Q14" s="16">
        <v>0.0</v>
      </c>
      <c r="R14" s="16">
        <v>0.0</v>
      </c>
      <c r="S14" s="17">
        <v>0.0</v>
      </c>
      <c r="T14" s="18">
        <f t="shared" si="3"/>
        <v>218</v>
      </c>
    </row>
    <row r="15">
      <c r="G15" s="21" t="s">
        <v>37</v>
      </c>
      <c r="H15" s="5"/>
      <c r="I15" s="7"/>
      <c r="J15" s="22">
        <f t="shared" ref="J15:K15" si="4">SUM(J3:J14)</f>
        <v>144</v>
      </c>
      <c r="K15" s="22">
        <f t="shared" si="4"/>
        <v>32</v>
      </c>
      <c r="L15" s="22">
        <f t="shared" si="1"/>
        <v>176</v>
      </c>
      <c r="M15" s="22">
        <f t="shared" ref="M15:S15" si="5">SUM(M3:M14)</f>
        <v>578</v>
      </c>
      <c r="N15" s="22">
        <f t="shared" si="5"/>
        <v>190</v>
      </c>
      <c r="O15" s="22">
        <f t="shared" si="5"/>
        <v>2801</v>
      </c>
      <c r="P15" s="22">
        <f t="shared" si="5"/>
        <v>2123</v>
      </c>
      <c r="Q15" s="22">
        <f t="shared" si="5"/>
        <v>801</v>
      </c>
      <c r="R15" s="22">
        <f t="shared" si="5"/>
        <v>144</v>
      </c>
      <c r="S15" s="22">
        <f t="shared" si="5"/>
        <v>28</v>
      </c>
      <c r="T15" s="12">
        <f t="shared" si="3"/>
        <v>6087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7:G9"/>
    <mergeCell ref="G10:G14"/>
    <mergeCell ref="G15:I15"/>
    <mergeCell ref="G1:G2"/>
    <mergeCell ref="H1:H2"/>
    <mergeCell ref="I1:I2"/>
    <mergeCell ref="J1:L1"/>
    <mergeCell ref="M1:M2"/>
    <mergeCell ref="N1:T1"/>
    <mergeCell ref="G4:G6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2023-02-16T19:54:44Z</dcterms:created>
  <dc:creator>DELL</dc:creator>
</cp:coreProperties>
</file>